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<sst xmlns="http://schemas.openxmlformats.org/spreadsheetml/2006/main" count="108" uniqueCount="87">
  <si>
    <t>Option 1</t>
  </si>
  <si>
    <t>Option 2</t>
  </si>
  <si>
    <t>Option 3</t>
  </si>
  <si>
    <t>Option 6</t>
  </si>
  <si>
    <t>Option 7</t>
  </si>
  <si>
    <t>Option 8</t>
  </si>
  <si>
    <t>Option 9</t>
  </si>
  <si>
    <t>Option 11</t>
  </si>
  <si>
    <t>Option 12</t>
  </si>
  <si>
    <t>Option 13</t>
  </si>
  <si>
    <t>Option 4</t>
  </si>
  <si>
    <t>Option 5</t>
  </si>
  <si>
    <t>Location:</t>
  </si>
  <si>
    <t>JLT 1
Cluster U
KitchenPark</t>
  </si>
  <si>
    <t>JLT 2
Cluster K
KitchenPark</t>
  </si>
  <si>
    <t>JLT 2
Cluster K
Express Kitchens</t>
  </si>
  <si>
    <t>Arjan
Flamingo Z2 Tower
Express Kitchens</t>
  </si>
  <si>
    <t>Motor City (MC2), Arjan (KP)
Butterfly Garden Gate
with dine-in area</t>
  </si>
  <si>
    <t>IMPZ, Mango Hypermarket
Dubai Production City</t>
  </si>
  <si>
    <t>Quoz, Al Quoz 2 
Warehouse 01</t>
  </si>
  <si>
    <t>Quoz, Al Quoz 2 
Warehouse 02</t>
  </si>
  <si>
    <t xml:space="preserve"> Al Sufouh 
next to Internet City
with dine-in area</t>
  </si>
  <si>
    <t>Deira, Al Khabaisi
KitchenPark</t>
  </si>
  <si>
    <t>Business Bay BB2
Silver Tower
Kitchen Park</t>
  </si>
  <si>
    <t>Business Bay BB4 
(EK) Al Safeer 2
Express Kitchens</t>
  </si>
  <si>
    <t>Business Bay (CUI)
Clover Bay Tower
Cuisinette</t>
  </si>
  <si>
    <t>Wafi Mall
Al Garhoud Road</t>
  </si>
  <si>
    <t>Abu Shagara
SHJ Centre
 KitchenPark</t>
  </si>
  <si>
    <t>Mirdif
Al Khawaneej Center (Mall)
 KitchenPark</t>
  </si>
  <si>
    <t>IMPZ, Mango Hypermarket
 KitchenPark</t>
  </si>
  <si>
    <t>DSO
Dubai Silicon Oasis</t>
  </si>
  <si>
    <t>Bur Dubai - Wasl Port
Jumeirah
 Al Mina</t>
  </si>
  <si>
    <t>Hessa St 
Shop No. 2, Bay 61
Express Kitchens</t>
  </si>
  <si>
    <t>Hessa St 
Red Sea II Building
Express Kitchens</t>
  </si>
  <si>
    <t>Required License:</t>
  </si>
  <si>
    <t>DMCC TL</t>
  </si>
  <si>
    <t>DET TL + Kiosk Permit</t>
  </si>
  <si>
    <t>Unit specs:</t>
  </si>
  <si>
    <r>
      <rPr>
        <rFont val="Arial"/>
        <b/>
        <color theme="1"/>
        <sz val="12.0"/>
      </rPr>
      <t xml:space="preserve">Unit K09 </t>
    </r>
    <r>
      <rPr>
        <rFont val="Arial"/>
        <b/>
        <color theme="1"/>
        <sz val="8.0"/>
      </rPr>
      <t xml:space="preserve">from 14/05/2026
</t>
    </r>
    <r>
      <rPr>
        <rFont val="Arial"/>
        <b/>
        <color theme="1"/>
      </rPr>
      <t>21 sqm / 2.7 m Hood</t>
    </r>
  </si>
  <si>
    <r>
      <rPr>
        <rFont val="Arial"/>
        <b/>
        <color theme="1"/>
        <sz val="12.0"/>
      </rPr>
      <t>Unit K14</t>
    </r>
    <r>
      <rPr>
        <rFont val="Arial"/>
        <b/>
        <color theme="1"/>
        <sz val="8.0"/>
      </rPr>
      <t xml:space="preserve">
</t>
    </r>
    <r>
      <rPr>
        <rFont val="Arial"/>
        <b/>
        <color theme="1"/>
      </rPr>
      <t>22,4 sqm / 2.7 m Hood</t>
    </r>
  </si>
  <si>
    <r>
      <rPr>
        <rFont val="Arial"/>
        <b/>
        <color theme="1"/>
        <sz val="12.0"/>
      </rPr>
      <t xml:space="preserve">Unit K6B
</t>
    </r>
    <r>
      <rPr>
        <rFont val="Arial"/>
        <b/>
        <color theme="1"/>
      </rPr>
      <t>10.7 sqm / 2.0 m Hood</t>
    </r>
  </si>
  <si>
    <r>
      <rPr>
        <rFont val="Arial"/>
        <b/>
        <color theme="1"/>
        <sz val="12.0"/>
      </rPr>
      <t xml:space="preserve">Unit K8B
</t>
    </r>
    <r>
      <rPr>
        <rFont val="Arial"/>
        <b/>
        <color theme="1"/>
      </rPr>
      <t>9.7 sqm / 2.0 m Hood</t>
    </r>
  </si>
  <si>
    <r>
      <rPr>
        <rFont val="Arial"/>
        <b/>
        <color theme="1"/>
        <sz val="12.0"/>
      </rPr>
      <t xml:space="preserve">Unit K16
</t>
    </r>
    <r>
      <rPr>
        <rFont val="Arial"/>
        <b/>
        <color theme="1"/>
      </rPr>
      <t>28 sqm / 4.0 m Hood</t>
    </r>
  </si>
  <si>
    <r>
      <rPr>
        <rFont val="Arial"/>
        <b/>
        <color theme="1"/>
        <sz val="12.0"/>
      </rPr>
      <t xml:space="preserve">Unit K02
</t>
    </r>
    <r>
      <rPr>
        <rFont val="Arial"/>
        <b/>
        <color theme="1"/>
      </rPr>
      <t>10.5 sqm / 3.2 m Hood</t>
    </r>
  </si>
  <si>
    <r>
      <rPr>
        <rFont val="Arial"/>
        <b/>
        <color theme="1"/>
        <sz val="11.0"/>
      </rPr>
      <t>Unit  K05B</t>
    </r>
    <r>
      <rPr>
        <rFont val="Arial"/>
        <b val="0"/>
        <color theme="1"/>
        <sz val="11.0"/>
      </rPr>
      <t xml:space="preserve"> - from 14 june</t>
    </r>
    <r>
      <rPr>
        <rFont val="Arial"/>
        <b/>
        <color theme="1"/>
        <sz val="11.0"/>
      </rPr>
      <t xml:space="preserve">
15.3 sqm and 2.6m hood</t>
    </r>
  </si>
  <si>
    <t>Unit K12A
12 sqm / 2.0 m hood</t>
  </si>
  <si>
    <r>
      <rPr>
        <rFont val="Arial"/>
        <b/>
        <color theme="1"/>
        <sz val="11.0"/>
      </rPr>
      <t>Unit K11</t>
    </r>
    <r>
      <rPr>
        <rFont val="Arial"/>
        <b/>
        <color theme="1"/>
        <sz val="11.0"/>
      </rPr>
      <t xml:space="preserve">
</t>
    </r>
    <r>
      <rPr>
        <rFont val="Arial"/>
        <b/>
        <color theme="1"/>
        <sz val="11.0"/>
      </rPr>
      <t>10.9 sqm / 2.0 m hood</t>
    </r>
  </si>
  <si>
    <r>
      <rPr>
        <rFont val="Arial"/>
        <b/>
        <color theme="1"/>
        <sz val="11.0"/>
      </rPr>
      <t xml:space="preserve">Unit K04 </t>
    </r>
    <r>
      <rPr>
        <rFont val="Arial"/>
        <b val="0"/>
        <color theme="1"/>
        <sz val="11.0"/>
      </rPr>
      <t>- from 19/07/2026</t>
    </r>
    <r>
      <rPr>
        <rFont val="Arial"/>
        <b/>
        <color theme="1"/>
        <sz val="11.0"/>
      </rPr>
      <t xml:space="preserve">
</t>
    </r>
    <r>
      <rPr>
        <rFont val="Arial"/>
        <b/>
        <color theme="1"/>
        <sz val="11.0"/>
      </rPr>
      <t>15 sqm / 2.4 m hood</t>
    </r>
  </si>
  <si>
    <t>Unit K07
15.2 sqm / 2.4 m hood</t>
  </si>
  <si>
    <t>Unit K06
37 sqm / 4 m hood</t>
  </si>
  <si>
    <r>
      <rPr>
        <rFont val="Arial"/>
        <b/>
        <color theme="1"/>
        <sz val="11.0"/>
      </rPr>
      <t>Unit K03</t>
    </r>
    <r>
      <rPr>
        <rFont val="Arial"/>
        <b/>
        <color theme="1"/>
        <sz val="11.0"/>
      </rPr>
      <t xml:space="preserve">
</t>
    </r>
    <r>
      <rPr>
        <rFont val="Arial"/>
        <b/>
        <color theme="1"/>
        <sz val="11.0"/>
      </rPr>
      <t>10.5 sqm / 2.5 m hood</t>
    </r>
  </si>
  <si>
    <r>
      <rPr>
        <rFont val="Arial"/>
        <b/>
        <color theme="1"/>
        <sz val="11.0"/>
      </rPr>
      <t>Unit K02</t>
    </r>
    <r>
      <rPr>
        <rFont val="Arial"/>
        <b/>
        <color theme="1"/>
        <sz val="11.0"/>
      </rPr>
      <t xml:space="preserve">
</t>
    </r>
    <r>
      <rPr>
        <rFont val="Arial"/>
        <b/>
        <color theme="1"/>
        <sz val="11.0"/>
      </rPr>
      <t>13 sqm / 2.4 m hood</t>
    </r>
  </si>
  <si>
    <t>Unit  K08 (Hot) - GF
15.24 sqm and 2.4m hood</t>
  </si>
  <si>
    <t>Unit  K26 Hot) - 1st floor
19.5 sqm / 3 m hood</t>
  </si>
  <si>
    <r>
      <rPr>
        <rFont val="Arial"/>
        <b/>
        <color theme="1"/>
        <sz val="11.0"/>
      </rPr>
      <t xml:space="preserve">Unit K06 </t>
    </r>
    <r>
      <rPr>
        <rFont val="Arial"/>
        <b val="0"/>
        <color theme="1"/>
        <sz val="11.0"/>
      </rPr>
      <t xml:space="preserve">from 14/06
</t>
    </r>
    <r>
      <rPr>
        <rFont val="Arial"/>
        <b/>
        <color theme="1"/>
        <sz val="11.0"/>
      </rPr>
      <t>16 sqm / 2.5 m hood</t>
    </r>
  </si>
  <si>
    <r>
      <rPr>
        <rFont val="Arial"/>
        <b/>
        <color theme="1"/>
        <sz val="11.0"/>
      </rPr>
      <t xml:space="preserve">Unit K02
</t>
    </r>
    <r>
      <rPr>
        <rFont val="Arial"/>
        <b/>
        <color theme="1"/>
        <sz val="11.0"/>
      </rPr>
      <t>12.7 sqm / 2.5 m hood</t>
    </r>
  </si>
  <si>
    <r>
      <rPr>
        <rFont val="Arial"/>
        <b/>
        <color theme="1"/>
        <sz val="11.0"/>
      </rPr>
      <t xml:space="preserve">Unit K13
</t>
    </r>
    <r>
      <rPr>
        <rFont val="Arial"/>
        <b/>
        <color theme="1"/>
        <sz val="11.0"/>
      </rPr>
      <t>13</t>
    </r>
    <r>
      <rPr>
        <rFont val="Arial"/>
        <b/>
        <color theme="1"/>
        <sz val="11.0"/>
      </rPr>
      <t xml:space="preserve"> </t>
    </r>
    <r>
      <rPr>
        <rFont val="Arial"/>
        <b/>
        <color theme="1"/>
        <sz val="11.0"/>
      </rPr>
      <t>sqm / 2.5 m hood</t>
    </r>
  </si>
  <si>
    <r>
      <rPr>
        <rFont val="Arial"/>
        <b/>
        <color theme="1"/>
        <sz val="11.0"/>
      </rPr>
      <t xml:space="preserve">Unit K015 </t>
    </r>
    <r>
      <rPr>
        <rFont val="Arial"/>
        <b val="0"/>
        <color theme="1"/>
        <sz val="11.0"/>
      </rPr>
      <t xml:space="preserve">from 23/06
</t>
    </r>
    <r>
      <rPr>
        <rFont val="Arial"/>
        <b/>
        <color theme="1"/>
        <sz val="11.0"/>
      </rPr>
      <t>15 sqm / 2.4 m hood</t>
    </r>
  </si>
  <si>
    <r>
      <rPr>
        <rFont val="Arial"/>
        <b/>
        <color theme="1"/>
        <sz val="11.0"/>
      </rPr>
      <t>Unit K03 -</t>
    </r>
    <r>
      <rPr>
        <rFont val="Arial"/>
        <b/>
        <color theme="1"/>
        <sz val="11.0"/>
      </rPr>
      <t xml:space="preserve"> MZ floor
</t>
    </r>
    <r>
      <rPr>
        <rFont val="Arial"/>
        <b/>
        <color theme="1"/>
        <sz val="11.0"/>
      </rPr>
      <t>16.4 sq m / 2.4 m hood</t>
    </r>
  </si>
  <si>
    <r>
      <rPr>
        <rFont val="Arial"/>
        <b/>
        <color theme="1"/>
        <sz val="11.0"/>
      </rPr>
      <t>Unit K05</t>
    </r>
    <r>
      <rPr>
        <rFont val="Arial"/>
        <b/>
        <color theme="1"/>
        <sz val="11.0"/>
      </rPr>
      <t xml:space="preserve"> - MZ floor
</t>
    </r>
    <r>
      <rPr>
        <rFont val="Arial"/>
        <b/>
        <color theme="1"/>
        <sz val="11.0"/>
      </rPr>
      <t>21.6 sq m / 4 m hood</t>
    </r>
  </si>
  <si>
    <t>Unit K02
11.2 sqm / 2.0 m hood</t>
  </si>
  <si>
    <r>
      <rPr>
        <rFont val="Arial"/>
        <b/>
        <color theme="1"/>
        <sz val="11.0"/>
      </rPr>
      <t xml:space="preserve">Unit K11 </t>
    </r>
    <r>
      <rPr>
        <rFont val="Arial"/>
        <b val="0"/>
        <color theme="1"/>
        <sz val="11.0"/>
      </rPr>
      <t xml:space="preserve">from 10 May 2025
</t>
    </r>
    <r>
      <rPr>
        <rFont val="Arial"/>
        <b/>
        <color theme="1"/>
        <sz val="11.0"/>
      </rPr>
      <t>10.9 sqm / 2.0 m hood</t>
    </r>
  </si>
  <si>
    <t>K22B
10.8 sqm / 2.0m hood</t>
  </si>
  <si>
    <t>Unit K12
21 sqm / 2.7 m hood</t>
  </si>
  <si>
    <r>
      <rPr>
        <rFont val="Arial"/>
        <b/>
        <color theme="1"/>
        <sz val="11.0"/>
      </rPr>
      <t>Unit K13</t>
    </r>
    <r>
      <rPr>
        <rFont val="Arial"/>
        <b/>
        <color theme="1"/>
        <sz val="11.0"/>
      </rPr>
      <t xml:space="preserve">
12.6 sqm/ 2.5 m Hood</t>
    </r>
  </si>
  <si>
    <t>Unit K04
13 sqm / 3.0 m hood</t>
  </si>
  <si>
    <t>Unit K05
15.15 sqm / 2.8 m hood</t>
  </si>
  <si>
    <t xml:space="preserve">Total monthly payments </t>
  </si>
  <si>
    <t>Monthly Rate (excl. Utilities)</t>
  </si>
  <si>
    <t xml:space="preserve">Monthly Rate (excl. Utilities)                                </t>
  </si>
  <si>
    <r>
      <rPr>
        <rFont val="Arial"/>
        <b/>
        <color theme="1"/>
        <sz val="13.0"/>
      </rPr>
      <t xml:space="preserve">Monthly license fee </t>
    </r>
    <r>
      <rPr>
        <rFont val="Arial"/>
        <b val="0"/>
        <color theme="1"/>
        <sz val="11.0"/>
      </rPr>
      <t xml:space="preserve">(VAT excl, applicable) </t>
    </r>
  </si>
  <si>
    <r>
      <rPr>
        <rFont val="Arial"/>
        <b/>
        <color theme="1"/>
        <sz val="13.0"/>
      </rPr>
      <t xml:space="preserve">Estimated shared utilities </t>
    </r>
    <r>
      <rPr>
        <rFont val="Arial"/>
        <b val="0"/>
        <color theme="1"/>
        <sz val="11.0"/>
      </rPr>
      <t>(excl. direct Gas &amp; Elec. for KP)</t>
    </r>
  </si>
  <si>
    <t>Reservation Fees</t>
  </si>
  <si>
    <r>
      <rPr>
        <rFont val="Arial"/>
        <b/>
        <color theme="1"/>
        <sz val="13.0"/>
      </rPr>
      <t xml:space="preserve">Refundable Deposit </t>
    </r>
    <r>
      <rPr>
        <rFont val="Arial"/>
        <b val="0"/>
        <color theme="1"/>
        <sz val="11.0"/>
      </rPr>
      <t>(VAT excl.)</t>
    </r>
  </si>
  <si>
    <r>
      <rPr>
        <rFont val="Arial"/>
        <b/>
        <color theme="1"/>
        <sz val="13.0"/>
      </rPr>
      <t xml:space="preserve">One Time Activation Fee </t>
    </r>
    <r>
      <rPr>
        <rFont val="Arial"/>
        <b val="0"/>
        <color theme="1"/>
        <sz val="11.0"/>
      </rPr>
      <t xml:space="preserve">(Incl. VAT) </t>
    </r>
  </si>
  <si>
    <t xml:space="preserve">Total to book the kitchen </t>
  </si>
  <si>
    <t>Note: *Starting from 24m terms, payable monthly (first cheques needed for move-in). The notice period is 3 months.</t>
  </si>
  <si>
    <t xml:space="preserve">Gas and electricity (±4-5 kw per kitchen) are individually metered for each unit, and charged based on actual consumption </t>
  </si>
  <si>
    <t>The estimation of shared utilities is ±2,000-5,000 monthly at KP facilities (covers all service charges and AMCs)</t>
  </si>
  <si>
    <t xml:space="preserve"> </t>
  </si>
  <si>
    <t xml:space="preserve">EK facilities are all-inclusive: all utilities (are included in the price including direct gas and electricity) </t>
  </si>
  <si>
    <t>Only the monthly rate is paid pre-paid. Utilities are post-paid, except the fixed charges.</t>
  </si>
  <si>
    <t xml:space="preserve">Facilities inside the shopping centers and malls operate based on the mall's working hours. </t>
  </si>
  <si>
    <t>For DMCC tradelicense (DMCC TL) no activation applicable at the moment</t>
  </si>
  <si>
    <t>For dine-in facilities, 10% applies (table service, waste management, payment collection, menu integration, etc).</t>
  </si>
  <si>
    <t>2.95% processing fee for delivery orders (through aggregators) or 400 AED Fixed (commissary kitchens)</t>
  </si>
  <si>
    <t>This offer is valid till 15th of May 2026 and is available on a first-come, first-served basis.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</si>
</sst>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AED]#,##0.00"/>
    <numFmt numFmtId="165" formatCode="[$AED]#,##0"/>
  </numFmts>
  <fonts count="1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sz val="13.0"/>
      <color rgb="FFFFFFFF"/>
      <name val="Arial"/>
    </font>
    <font>
      <b/>
      <color rgb="FFFFFFFF"/>
      <name val="Arial"/>
    </font>
    <font/>
    <font>
      <b/>
      <sz val="13.0"/>
      <color theme="1"/>
      <name val="Arial"/>
    </font>
    <font>
      <color rgb="FFFFFFFF"/>
      <name val="Arial"/>
    </font>
    <font>
      <b/>
      <sz val="12.0"/>
      <color rgb="FFFFFFFF"/>
      <name val="Arial"/>
    </font>
    <font>
      <sz val="13.0"/>
      <color theme="1"/>
      <name val="Arial"/>
    </font>
    <font>
      <strike/>
      <sz val="13.0"/>
      <color theme="1"/>
      <name val="Arial"/>
    </font>
    <font>
      <b/>
      <sz val="13.0"/>
      <color rgb="FF13835E"/>
      <name val="Arial"/>
    </font>
    <font>
      <b/>
      <sz val="12.0"/>
      <color theme="1"/>
      <name val="Arial"/>
    </font>
    <font>
      <b/>
      <sz val="12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77A7C"/>
        <bgColor rgb="FF477A7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1" fillId="2" fontId="1" numFmtId="0" xfId="0" applyBorder="1" applyFill="1" applyFont="1"/>
    <xf borderId="1" fillId="2" fontId="2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/>
    </xf>
    <xf borderId="1" fillId="3" fontId="4" numFmtId="0" xfId="0" applyBorder="1" applyFill="1" applyFont="1"/>
    <xf borderId="2" fillId="3" fontId="5" numFmtId="0" xfId="0" applyAlignment="1" applyBorder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1" fillId="3" fontId="5" numFmtId="0" xfId="0" applyAlignment="1" applyBorder="1" applyFont="1">
      <alignment horizontal="center"/>
    </xf>
    <xf borderId="2" fillId="3" fontId="5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5" fillId="3" fontId="5" numFmtId="0" xfId="0" applyAlignment="1" applyBorder="1" applyFont="1">
      <alignment horizontal="center"/>
    </xf>
    <xf borderId="1" fillId="0" fontId="7" numFmtId="0" xfId="0" applyBorder="1" applyFont="1"/>
    <xf borderId="2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2" fillId="3" fontId="4" numFmtId="0" xfId="0" applyBorder="1" applyFont="1"/>
    <xf borderId="3" fillId="3" fontId="5" numFmtId="0" xfId="0" applyAlignment="1" applyBorder="1" applyFont="1">
      <alignment horizontal="center"/>
    </xf>
    <xf borderId="3" fillId="3" fontId="1" numFmtId="0" xfId="0" applyBorder="1" applyFont="1"/>
    <xf borderId="4" fillId="3" fontId="1" numFmtId="0" xfId="0" applyBorder="1" applyFont="1"/>
    <xf borderId="4" fillId="3" fontId="1" numFmtId="164" xfId="0" applyBorder="1" applyFont="1" applyNumberFormat="1"/>
    <xf borderId="4" fillId="3" fontId="8" numFmtId="164" xfId="0" applyAlignment="1" applyBorder="1" applyFont="1" applyNumberFormat="1">
      <alignment horizontal="center" shrinkToFit="0" wrapText="1"/>
    </xf>
    <xf borderId="6" fillId="3" fontId="5" numFmtId="164" xfId="0" applyAlignment="1" applyBorder="1" applyFont="1" applyNumberFormat="1">
      <alignment horizontal="center"/>
    </xf>
    <xf borderId="7" fillId="3" fontId="5" numFmtId="0" xfId="0" applyAlignment="1" applyBorder="1" applyFont="1">
      <alignment horizontal="center"/>
    </xf>
    <xf borderId="8" fillId="3" fontId="9" numFmtId="0" xfId="0" applyAlignment="1" applyBorder="1" applyFont="1">
      <alignment horizontal="center"/>
    </xf>
    <xf borderId="9" fillId="3" fontId="1" numFmtId="0" xfId="0" applyBorder="1" applyFont="1"/>
    <xf borderId="10" fillId="0" fontId="7" numFmtId="0" xfId="0" applyBorder="1" applyFont="1"/>
    <xf borderId="6" fillId="0" fontId="7" numFmtId="164" xfId="0" applyAlignment="1" applyBorder="1" applyFont="1" applyNumberFormat="1">
      <alignment horizontal="center"/>
    </xf>
    <xf borderId="6" fillId="0" fontId="7" numFmtId="165" xfId="0" applyAlignment="1" applyBorder="1" applyFont="1" applyNumberFormat="1">
      <alignment horizontal="center"/>
    </xf>
    <xf borderId="0" fillId="0" fontId="1" numFmtId="164" xfId="0" applyFont="1" applyNumberFormat="1"/>
    <xf borderId="6" fillId="0" fontId="10" numFmtId="164" xfId="0" applyAlignment="1" applyBorder="1" applyFont="1" applyNumberFormat="1">
      <alignment horizontal="center"/>
    </xf>
    <xf borderId="6" fillId="0" fontId="10" numFmtId="165" xfId="0" applyAlignment="1" applyBorder="1" applyFont="1" applyNumberFormat="1">
      <alignment horizontal="center"/>
    </xf>
    <xf borderId="2" fillId="0" fontId="1" numFmtId="0" xfId="0" applyBorder="1" applyFont="1"/>
    <xf borderId="3" fillId="0" fontId="1" numFmtId="164" xfId="0" applyBorder="1" applyFont="1" applyNumberFormat="1"/>
    <xf borderId="3" fillId="0" fontId="1" numFmtId="165" xfId="0" applyBorder="1" applyFont="1" applyNumberFormat="1"/>
    <xf borderId="4" fillId="0" fontId="1" numFmtId="165" xfId="0" applyBorder="1" applyFont="1" applyNumberFormat="1"/>
    <xf borderId="4" fillId="0" fontId="1" numFmtId="164" xfId="0" applyBorder="1" applyFont="1" applyNumberFormat="1"/>
    <xf borderId="11" fillId="0" fontId="1" numFmtId="164" xfId="0" applyBorder="1" applyFont="1" applyNumberFormat="1"/>
    <xf borderId="9" fillId="0" fontId="1" numFmtId="164" xfId="0" applyBorder="1" applyFont="1" applyNumberFormat="1"/>
    <xf borderId="3" fillId="3" fontId="1" numFmtId="164" xfId="0" applyBorder="1" applyFont="1" applyNumberFormat="1"/>
    <xf borderId="3" fillId="3" fontId="1" numFmtId="165" xfId="0" applyBorder="1" applyFont="1" applyNumberFormat="1"/>
    <xf borderId="4" fillId="3" fontId="1" numFmtId="165" xfId="0" applyBorder="1" applyFont="1" applyNumberFormat="1"/>
    <xf borderId="6" fillId="0" fontId="11" numFmtId="164" xfId="0" applyAlignment="1" applyBorder="1" applyFont="1" applyNumberFormat="1">
      <alignment horizontal="center"/>
    </xf>
    <xf borderId="1" fillId="0" fontId="7" numFmtId="164" xfId="0" applyAlignment="1" applyBorder="1" applyFont="1" applyNumberFormat="1">
      <alignment horizontal="center"/>
    </xf>
    <xf borderId="1" fillId="0" fontId="7" numFmtId="165" xfId="0" applyAlignment="1" applyBorder="1" applyFont="1" applyNumberFormat="1">
      <alignment horizontal="center"/>
    </xf>
    <xf borderId="1" fillId="0" fontId="12" numFmtId="164" xfId="0" applyAlignment="1" applyBorder="1" applyFont="1" applyNumberFormat="1">
      <alignment horizontal="center"/>
    </xf>
    <xf borderId="8" fillId="0" fontId="1" numFmtId="0" xfId="0" applyBorder="1" applyFont="1"/>
    <xf borderId="11" fillId="0" fontId="1" numFmtId="0" xfId="0" applyBorder="1" applyFont="1"/>
    <xf borderId="9" fillId="0" fontId="1" numFmtId="0" xfId="0" applyBorder="1" applyFont="1"/>
    <xf borderId="7" fillId="0" fontId="1" numFmtId="0" xfId="0" applyBorder="1" applyFont="1"/>
    <xf borderId="10" fillId="0" fontId="13" numFmtId="0" xfId="0" applyBorder="1" applyFont="1"/>
    <xf borderId="12" fillId="0" fontId="14" numFmtId="0" xfId="0" applyBorder="1" applyFont="1"/>
    <xf borderId="13" fillId="0" fontId="1" numFmtId="0" xfId="0" applyBorder="1" applyFont="1"/>
    <xf borderId="14" fillId="0" fontId="1" numFmtId="0" xfId="0" applyBorder="1" applyFont="1"/>
    <xf borderId="0" fillId="0" fontId="1" numFmtId="165" xfId="0" applyFont="1" applyNumberFormat="1"/>
    <xf borderId="0" fillId="0" fontId="1" numFmtId="165" xfId="0" applyAlignment="1" applyFont="1" applyNumberFormat="1">
      <alignment vertical="bottom"/>
    </xf>
    <xf borderId="1" fillId="0" fontId="1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5"/>
    <col customWidth="1" min="2" max="2" width="117.5"/>
    <col customWidth="1" min="3" max="3" width="23.25"/>
    <col customWidth="1" min="4" max="5" width="18.5"/>
    <col customWidth="1" min="6" max="6" width="17.63"/>
    <col customWidth="1" min="7" max="7" width="17.13"/>
    <col customWidth="1" min="8" max="8" width="18.5"/>
    <col customWidth="1" min="9" max="9" width="22.25"/>
    <col customWidth="1" min="10" max="10" width="23.38"/>
    <col customWidth="1" min="11" max="11" width="21.88"/>
    <col customWidth="1" min="12" max="12" width="23.38"/>
    <col customWidth="1" min="13" max="14" width="23.25"/>
    <col customWidth="1" min="15" max="15" width="20.0"/>
    <col customWidth="1" min="16" max="16" width="18.5"/>
    <col customWidth="1" min="17" max="17" width="23.25"/>
    <col customWidth="1" min="18" max="18" width="22.0"/>
    <col customWidth="1" min="19" max="19" width="18.5"/>
    <col customWidth="1" min="20" max="20" width="20.0"/>
    <col customWidth="1" min="21" max="21" width="18.5"/>
    <col customWidth="1" min="22" max="22" width="18.75"/>
    <col customWidth="1" min="23" max="23" width="20.5"/>
    <col customWidth="1" min="24" max="24" width="19.0"/>
    <col customWidth="1" min="25" max="25" width="22.38"/>
    <col customWidth="1" min="26" max="26" width="23.63"/>
    <col customWidth="1" min="27" max="27" width="19.5"/>
    <col customWidth="1" min="28" max="28" width="18.5"/>
    <col customWidth="1" min="29" max="29" width="23.25"/>
    <col customWidth="1" min="30" max="30" width="27.63"/>
    <col customWidth="1" min="31" max="31" width="21.13"/>
    <col customWidth="1" min="32" max="40" width="81.75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>
      <c r="A3" s="1"/>
      <c r="B3" s="3"/>
      <c r="C3" s="4" t="s">
        <v>0</v>
      </c>
      <c r="D3" s="4" t="s">
        <v>1</v>
      </c>
      <c r="E3" s="4" t="s">
        <v>0</v>
      </c>
      <c r="F3" s="4" t="s">
        <v>0</v>
      </c>
      <c r="G3" s="4" t="s">
        <v>1</v>
      </c>
      <c r="H3" s="4" t="s">
        <v>2</v>
      </c>
      <c r="I3" s="4" t="s">
        <v>0</v>
      </c>
      <c r="J3" s="4" t="s">
        <v>1</v>
      </c>
      <c r="K3" s="4" t="s">
        <v>3</v>
      </c>
      <c r="L3" s="4" t="s">
        <v>4</v>
      </c>
      <c r="M3" s="4" t="s">
        <v>5</v>
      </c>
      <c r="N3" s="4" t="s">
        <v>6</v>
      </c>
      <c r="O3" s="4" t="s">
        <v>2</v>
      </c>
      <c r="P3" s="4" t="s">
        <v>7</v>
      </c>
      <c r="Q3" s="4" t="s">
        <v>8</v>
      </c>
      <c r="R3" s="4" t="s">
        <v>9</v>
      </c>
      <c r="S3" s="4" t="s">
        <v>10</v>
      </c>
      <c r="T3" s="4" t="s">
        <v>11</v>
      </c>
      <c r="U3" s="3"/>
      <c r="V3" s="3"/>
      <c r="W3" s="5" t="s">
        <v>0</v>
      </c>
      <c r="X3" s="5" t="s">
        <v>1</v>
      </c>
      <c r="Y3" s="5" t="s">
        <v>2</v>
      </c>
      <c r="Z3" s="3"/>
      <c r="AA3" s="3"/>
      <c r="AB3" s="3"/>
      <c r="AC3" s="3"/>
      <c r="AD3" s="4" t="s">
        <v>2</v>
      </c>
      <c r="AE3" s="4" t="s">
        <v>2</v>
      </c>
      <c r="AF3" s="1"/>
      <c r="AG3" s="1"/>
      <c r="AH3" s="1"/>
      <c r="AI3" s="1"/>
      <c r="AJ3" s="1"/>
      <c r="AK3" s="1"/>
      <c r="AL3" s="1"/>
      <c r="AM3" s="1"/>
      <c r="AN3" s="1"/>
    </row>
    <row r="4">
      <c r="A4" s="1"/>
      <c r="B4" s="6" t="s">
        <v>12</v>
      </c>
      <c r="C4" s="7" t="s">
        <v>13</v>
      </c>
      <c r="D4" s="8"/>
      <c r="E4" s="7" t="s">
        <v>14</v>
      </c>
      <c r="F4" s="8"/>
      <c r="G4" s="9"/>
      <c r="H4" s="10" t="s">
        <v>15</v>
      </c>
      <c r="I4" s="10" t="s">
        <v>16</v>
      </c>
      <c r="J4" s="10" t="s">
        <v>17</v>
      </c>
      <c r="K4" s="11" t="s">
        <v>18</v>
      </c>
      <c r="L4" s="9"/>
      <c r="M4" s="7" t="s">
        <v>19</v>
      </c>
      <c r="N4" s="7" t="s">
        <v>20</v>
      </c>
      <c r="O4" s="10" t="s">
        <v>21</v>
      </c>
      <c r="P4" s="10" t="s">
        <v>21</v>
      </c>
      <c r="Q4" s="7" t="s">
        <v>22</v>
      </c>
      <c r="R4" s="7" t="s">
        <v>22</v>
      </c>
      <c r="S4" s="7" t="s">
        <v>23</v>
      </c>
      <c r="T4" s="10" t="s">
        <v>24</v>
      </c>
      <c r="U4" s="10" t="s">
        <v>25</v>
      </c>
      <c r="V4" s="12" t="s">
        <v>26</v>
      </c>
      <c r="W4" s="7" t="s">
        <v>27</v>
      </c>
      <c r="X4" s="9"/>
      <c r="Y4" s="13" t="s">
        <v>28</v>
      </c>
      <c r="Z4" s="12" t="s">
        <v>29</v>
      </c>
      <c r="AA4" s="7" t="s">
        <v>30</v>
      </c>
      <c r="AB4" s="9"/>
      <c r="AC4" s="10" t="s">
        <v>31</v>
      </c>
      <c r="AD4" s="10" t="s">
        <v>32</v>
      </c>
      <c r="AE4" s="10" t="s">
        <v>33</v>
      </c>
      <c r="AF4" s="2"/>
      <c r="AG4" s="2"/>
      <c r="AH4" s="2"/>
      <c r="AI4" s="1"/>
      <c r="AJ4" s="1"/>
      <c r="AK4" s="1"/>
      <c r="AL4" s="1"/>
      <c r="AM4" s="1"/>
      <c r="AN4" s="1"/>
    </row>
    <row r="5">
      <c r="A5" s="1"/>
      <c r="B5" s="14" t="s">
        <v>34</v>
      </c>
      <c r="C5" s="15" t="s">
        <v>35</v>
      </c>
      <c r="D5" s="8"/>
      <c r="E5" s="15" t="s">
        <v>35</v>
      </c>
      <c r="F5" s="8"/>
      <c r="G5" s="9"/>
      <c r="H5" s="16" t="s">
        <v>35</v>
      </c>
      <c r="I5" s="15" t="s">
        <v>36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9"/>
      <c r="AF5" s="2"/>
      <c r="AG5" s="2"/>
      <c r="AH5" s="2"/>
      <c r="AI5" s="1"/>
      <c r="AJ5" s="1"/>
      <c r="AK5" s="1"/>
      <c r="AL5" s="1"/>
      <c r="AM5" s="1"/>
      <c r="AN5" s="1"/>
    </row>
    <row r="6">
      <c r="A6" s="1"/>
      <c r="B6" s="14" t="s">
        <v>37</v>
      </c>
      <c r="C6" s="17" t="s">
        <v>38</v>
      </c>
      <c r="D6" s="17" t="s">
        <v>39</v>
      </c>
      <c r="E6" s="17" t="s">
        <v>40</v>
      </c>
      <c r="F6" s="17" t="s">
        <v>41</v>
      </c>
      <c r="G6" s="17" t="s">
        <v>42</v>
      </c>
      <c r="H6" s="17" t="s">
        <v>43</v>
      </c>
      <c r="I6" s="18" t="s">
        <v>44</v>
      </c>
      <c r="J6" s="18" t="s">
        <v>45</v>
      </c>
      <c r="K6" s="19" t="s">
        <v>46</v>
      </c>
      <c r="L6" s="19" t="s">
        <v>47</v>
      </c>
      <c r="M6" s="20" t="s">
        <v>48</v>
      </c>
      <c r="N6" s="18" t="s">
        <v>49</v>
      </c>
      <c r="O6" s="18" t="s">
        <v>50</v>
      </c>
      <c r="P6" s="18" t="s">
        <v>51</v>
      </c>
      <c r="Q6" s="18" t="s">
        <v>52</v>
      </c>
      <c r="R6" s="18" t="s">
        <v>53</v>
      </c>
      <c r="S6" s="21" t="s">
        <v>54</v>
      </c>
      <c r="T6" s="21" t="s">
        <v>55</v>
      </c>
      <c r="U6" s="21" t="s">
        <v>56</v>
      </c>
      <c r="V6" s="21" t="s">
        <v>57</v>
      </c>
      <c r="W6" s="18" t="s">
        <v>58</v>
      </c>
      <c r="X6" s="18" t="s">
        <v>59</v>
      </c>
      <c r="Y6" s="18" t="s">
        <v>60</v>
      </c>
      <c r="Z6" s="19" t="s">
        <v>61</v>
      </c>
      <c r="AA6" s="18" t="s">
        <v>62</v>
      </c>
      <c r="AB6" s="18" t="s">
        <v>63</v>
      </c>
      <c r="AC6" s="21" t="s">
        <v>64</v>
      </c>
      <c r="AD6" s="21" t="s">
        <v>65</v>
      </c>
      <c r="AE6" s="21" t="s">
        <v>66</v>
      </c>
      <c r="AF6" s="2"/>
      <c r="AG6" s="2"/>
      <c r="AH6" s="2"/>
      <c r="AI6" s="1"/>
      <c r="AJ6" s="1"/>
      <c r="AK6" s="1"/>
      <c r="AL6" s="1"/>
      <c r="AM6" s="1"/>
      <c r="AN6" s="1"/>
    </row>
    <row r="7">
      <c r="A7" s="1"/>
      <c r="B7" s="22" t="s">
        <v>67</v>
      </c>
      <c r="C7" s="23" t="s">
        <v>68</v>
      </c>
      <c r="D7" s="24"/>
      <c r="E7" s="24"/>
      <c r="F7" s="24"/>
      <c r="G7" s="25"/>
      <c r="H7" s="25"/>
      <c r="I7" s="26"/>
      <c r="J7" s="26"/>
      <c r="K7" s="27" t="s">
        <v>69</v>
      </c>
      <c r="L7" s="27" t="s">
        <v>69</v>
      </c>
      <c r="M7" s="28" t="s">
        <v>68</v>
      </c>
      <c r="N7" s="28" t="s">
        <v>68</v>
      </c>
      <c r="O7" s="25"/>
      <c r="P7" s="25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9" t="s">
        <v>68</v>
      </c>
      <c r="AD7" s="30" t="s">
        <v>68</v>
      </c>
      <c r="AE7" s="31"/>
      <c r="AF7" s="1"/>
      <c r="AG7" s="1"/>
      <c r="AH7" s="1"/>
      <c r="AI7" s="1"/>
      <c r="AJ7" s="1"/>
      <c r="AK7" s="1"/>
      <c r="AL7" s="1"/>
      <c r="AM7" s="1"/>
      <c r="AN7" s="1"/>
    </row>
    <row r="8">
      <c r="A8" s="1"/>
      <c r="B8" s="32" t="s">
        <v>70</v>
      </c>
      <c r="C8" s="33">
        <v>11200.0</v>
      </c>
      <c r="D8" s="33">
        <v>11500.0</v>
      </c>
      <c r="E8" s="33">
        <v>7200.0</v>
      </c>
      <c r="F8" s="34">
        <v>9000.0</v>
      </c>
      <c r="G8" s="34">
        <v>19800.0</v>
      </c>
      <c r="H8" s="33">
        <v>15000.0</v>
      </c>
      <c r="I8" s="33">
        <v>16950.0</v>
      </c>
      <c r="J8" s="33">
        <v>8900.0</v>
      </c>
      <c r="K8" s="33">
        <v>9400.0</v>
      </c>
      <c r="L8" s="33">
        <v>9400.0</v>
      </c>
      <c r="M8" s="33">
        <v>9400.0</v>
      </c>
      <c r="N8" s="33">
        <v>9400.0</v>
      </c>
      <c r="O8" s="33">
        <v>9400.0</v>
      </c>
      <c r="P8" s="33">
        <v>9400.0</v>
      </c>
      <c r="Q8" s="33">
        <v>9400.0</v>
      </c>
      <c r="R8" s="33">
        <v>9400.0</v>
      </c>
      <c r="S8" s="33">
        <v>9400.0</v>
      </c>
      <c r="T8" s="33">
        <v>9400.0</v>
      </c>
      <c r="U8" s="33">
        <v>9400.0</v>
      </c>
      <c r="V8" s="33">
        <v>8500.0</v>
      </c>
      <c r="W8" s="33">
        <v>9400.0</v>
      </c>
      <c r="X8" s="33">
        <v>9400.0</v>
      </c>
      <c r="Y8" s="33">
        <v>9400.0</v>
      </c>
      <c r="Z8" s="33">
        <v>9400.0</v>
      </c>
      <c r="AA8" s="33">
        <v>6500.0</v>
      </c>
      <c r="AB8" s="33">
        <v>9400.0</v>
      </c>
      <c r="AC8" s="33">
        <v>9400.0</v>
      </c>
      <c r="AD8" s="33">
        <v>17950.0</v>
      </c>
      <c r="AE8" s="33">
        <v>18950.0</v>
      </c>
      <c r="AF8" s="35"/>
      <c r="AG8" s="1"/>
      <c r="AH8" s="1"/>
      <c r="AI8" s="1"/>
      <c r="AJ8" s="1"/>
      <c r="AK8" s="1"/>
      <c r="AL8" s="1"/>
      <c r="AM8" s="1"/>
      <c r="AN8" s="1"/>
    </row>
    <row r="9">
      <c r="A9" s="1"/>
      <c r="B9" s="32" t="s">
        <v>71</v>
      </c>
      <c r="C9" s="36">
        <v>5400.0</v>
      </c>
      <c r="D9" s="36">
        <v>0.0</v>
      </c>
      <c r="E9" s="36">
        <v>3300.0</v>
      </c>
      <c r="F9" s="37">
        <v>3500.0</v>
      </c>
      <c r="G9" s="37">
        <v>3300.0</v>
      </c>
      <c r="H9" s="36">
        <v>0.0</v>
      </c>
      <c r="I9" s="36">
        <v>0.0</v>
      </c>
      <c r="J9" s="36">
        <v>3400.0</v>
      </c>
      <c r="K9" s="36">
        <v>3400.0</v>
      </c>
      <c r="L9" s="36">
        <v>3400.0</v>
      </c>
      <c r="M9" s="36">
        <v>3400.0</v>
      </c>
      <c r="N9" s="36">
        <v>3400.0</v>
      </c>
      <c r="O9" s="36">
        <v>3400.0</v>
      </c>
      <c r="P9" s="36">
        <v>3400.0</v>
      </c>
      <c r="Q9" s="36">
        <v>3400.0</v>
      </c>
      <c r="R9" s="36">
        <v>3400.0</v>
      </c>
      <c r="S9" s="36">
        <v>3400.0</v>
      </c>
      <c r="T9" s="36">
        <v>3400.0</v>
      </c>
      <c r="U9" s="36">
        <v>3400.0</v>
      </c>
      <c r="V9" s="36">
        <v>3400.0</v>
      </c>
      <c r="W9" s="36">
        <v>3400.0</v>
      </c>
      <c r="X9" s="36">
        <v>3400.0</v>
      </c>
      <c r="Y9" s="36">
        <v>3400.0</v>
      </c>
      <c r="Z9" s="36">
        <v>3400.0</v>
      </c>
      <c r="AA9" s="36">
        <v>3400.0</v>
      </c>
      <c r="AB9" s="36">
        <v>3400.0</v>
      </c>
      <c r="AC9" s="36">
        <v>3400.0</v>
      </c>
      <c r="AD9" s="36">
        <v>3400.0</v>
      </c>
      <c r="AE9" s="36">
        <v>3400.0</v>
      </c>
      <c r="AF9" s="35"/>
      <c r="AG9" s="1"/>
      <c r="AH9" s="1"/>
      <c r="AI9" s="1"/>
      <c r="AJ9" s="1"/>
      <c r="AK9" s="1"/>
      <c r="AL9" s="1"/>
      <c r="AM9" s="1"/>
      <c r="AN9" s="1"/>
    </row>
    <row r="10">
      <c r="A10" s="1"/>
      <c r="B10" s="38"/>
      <c r="C10" s="39"/>
      <c r="D10" s="39"/>
      <c r="E10" s="39"/>
      <c r="F10" s="40"/>
      <c r="G10" s="41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42"/>
      <c r="AB10" s="43"/>
      <c r="AC10" s="43"/>
      <c r="AD10" s="43"/>
      <c r="AE10" s="44"/>
      <c r="AF10" s="35"/>
      <c r="AG10" s="1"/>
      <c r="AH10" s="1"/>
      <c r="AI10" s="1"/>
      <c r="AJ10" s="1"/>
      <c r="AK10" s="1"/>
      <c r="AL10" s="1"/>
      <c r="AM10" s="1"/>
      <c r="AN10" s="1"/>
    </row>
    <row r="11">
      <c r="A11" s="1"/>
      <c r="B11" s="22" t="s">
        <v>72</v>
      </c>
      <c r="C11" s="45"/>
      <c r="D11" s="45"/>
      <c r="E11" s="45"/>
      <c r="F11" s="46"/>
      <c r="G11" s="47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26"/>
      <c r="AF11" s="35"/>
      <c r="AG11" s="1"/>
      <c r="AH11" s="1"/>
      <c r="AI11" s="1"/>
      <c r="AJ11" s="1"/>
      <c r="AK11" s="1"/>
      <c r="AL11" s="1"/>
      <c r="AM11" s="1"/>
      <c r="AN11" s="1"/>
    </row>
    <row r="12">
      <c r="A12" s="1"/>
      <c r="B12" s="32" t="s">
        <v>73</v>
      </c>
      <c r="C12" s="36">
        <f t="shared" ref="C12:G12" si="1">C8*2</f>
        <v>22400</v>
      </c>
      <c r="D12" s="36">
        <f t="shared" si="1"/>
        <v>23000</v>
      </c>
      <c r="E12" s="36">
        <f t="shared" si="1"/>
        <v>14400</v>
      </c>
      <c r="F12" s="37">
        <f t="shared" si="1"/>
        <v>18000</v>
      </c>
      <c r="G12" s="37">
        <f t="shared" si="1"/>
        <v>39600</v>
      </c>
      <c r="H12" s="36">
        <f>H8*1.6</f>
        <v>24000</v>
      </c>
      <c r="I12" s="36">
        <f>I8*1.2</f>
        <v>20340</v>
      </c>
      <c r="J12" s="36">
        <f t="shared" ref="J12:AC12" si="2">J8*2</f>
        <v>17800</v>
      </c>
      <c r="K12" s="36">
        <f t="shared" si="2"/>
        <v>18800</v>
      </c>
      <c r="L12" s="36">
        <f t="shared" si="2"/>
        <v>18800</v>
      </c>
      <c r="M12" s="36">
        <f t="shared" si="2"/>
        <v>18800</v>
      </c>
      <c r="N12" s="36">
        <f t="shared" si="2"/>
        <v>18800</v>
      </c>
      <c r="O12" s="36">
        <f t="shared" si="2"/>
        <v>18800</v>
      </c>
      <c r="P12" s="36">
        <f t="shared" si="2"/>
        <v>18800</v>
      </c>
      <c r="Q12" s="36">
        <f t="shared" si="2"/>
        <v>18800</v>
      </c>
      <c r="R12" s="36">
        <f t="shared" si="2"/>
        <v>18800</v>
      </c>
      <c r="S12" s="36">
        <f t="shared" si="2"/>
        <v>18800</v>
      </c>
      <c r="T12" s="36">
        <f t="shared" si="2"/>
        <v>18800</v>
      </c>
      <c r="U12" s="36">
        <f t="shared" si="2"/>
        <v>18800</v>
      </c>
      <c r="V12" s="36">
        <f t="shared" si="2"/>
        <v>17000</v>
      </c>
      <c r="W12" s="36">
        <f t="shared" si="2"/>
        <v>18800</v>
      </c>
      <c r="X12" s="36">
        <f t="shared" si="2"/>
        <v>18800</v>
      </c>
      <c r="Y12" s="36">
        <f t="shared" si="2"/>
        <v>18800</v>
      </c>
      <c r="Z12" s="36">
        <f t="shared" si="2"/>
        <v>18800</v>
      </c>
      <c r="AA12" s="36">
        <f t="shared" si="2"/>
        <v>13000</v>
      </c>
      <c r="AB12" s="36">
        <f t="shared" si="2"/>
        <v>18800</v>
      </c>
      <c r="AC12" s="36">
        <f t="shared" si="2"/>
        <v>18800</v>
      </c>
      <c r="AD12" s="36">
        <f t="shared" ref="AD12:AE12" si="3">AD8*1.2</f>
        <v>21540</v>
      </c>
      <c r="AE12" s="36">
        <f t="shared" si="3"/>
        <v>22740</v>
      </c>
      <c r="AF12" s="35"/>
      <c r="AG12" s="1"/>
      <c r="AH12" s="1"/>
      <c r="AI12" s="1"/>
      <c r="AJ12" s="1"/>
      <c r="AK12" s="1"/>
      <c r="AL12" s="1"/>
      <c r="AM12" s="1"/>
      <c r="AN12" s="1"/>
    </row>
    <row r="13">
      <c r="A13" s="1"/>
      <c r="B13" s="32" t="s">
        <v>74</v>
      </c>
      <c r="C13" s="48">
        <f t="shared" ref="C13:G13" si="4">(C8*1.2)*1.05</f>
        <v>14112</v>
      </c>
      <c r="D13" s="48">
        <f t="shared" si="4"/>
        <v>14490</v>
      </c>
      <c r="E13" s="48">
        <f t="shared" si="4"/>
        <v>9072</v>
      </c>
      <c r="F13" s="37">
        <f t="shared" si="4"/>
        <v>11340</v>
      </c>
      <c r="G13" s="37">
        <f t="shared" si="4"/>
        <v>24948</v>
      </c>
      <c r="H13" s="48">
        <f t="shared" ref="H13:I13" si="5">(H8*1.2)*0.75</f>
        <v>13500</v>
      </c>
      <c r="I13" s="36">
        <f t="shared" si="5"/>
        <v>15255</v>
      </c>
      <c r="J13" s="36">
        <f t="shared" ref="J13:AC13" si="6">(J8*1.2)*1.05</f>
        <v>11214</v>
      </c>
      <c r="K13" s="36">
        <f t="shared" si="6"/>
        <v>11844</v>
      </c>
      <c r="L13" s="36">
        <f t="shared" si="6"/>
        <v>11844</v>
      </c>
      <c r="M13" s="36">
        <f t="shared" si="6"/>
        <v>11844</v>
      </c>
      <c r="N13" s="36">
        <f t="shared" si="6"/>
        <v>11844</v>
      </c>
      <c r="O13" s="36">
        <f t="shared" si="6"/>
        <v>11844</v>
      </c>
      <c r="P13" s="36">
        <f t="shared" si="6"/>
        <v>11844</v>
      </c>
      <c r="Q13" s="36">
        <f t="shared" si="6"/>
        <v>11844</v>
      </c>
      <c r="R13" s="36">
        <f t="shared" si="6"/>
        <v>11844</v>
      </c>
      <c r="S13" s="36">
        <f t="shared" si="6"/>
        <v>11844</v>
      </c>
      <c r="T13" s="36">
        <f t="shared" si="6"/>
        <v>11844</v>
      </c>
      <c r="U13" s="36">
        <f t="shared" si="6"/>
        <v>11844</v>
      </c>
      <c r="V13" s="48">
        <f t="shared" si="6"/>
        <v>10710</v>
      </c>
      <c r="W13" s="36">
        <f t="shared" si="6"/>
        <v>11844</v>
      </c>
      <c r="X13" s="36">
        <f t="shared" si="6"/>
        <v>11844</v>
      </c>
      <c r="Y13" s="36">
        <f t="shared" si="6"/>
        <v>11844</v>
      </c>
      <c r="Z13" s="36">
        <f t="shared" si="6"/>
        <v>11844</v>
      </c>
      <c r="AA13" s="48">
        <f t="shared" si="6"/>
        <v>8190</v>
      </c>
      <c r="AB13" s="36">
        <f t="shared" si="6"/>
        <v>11844</v>
      </c>
      <c r="AC13" s="36">
        <f t="shared" si="6"/>
        <v>11844</v>
      </c>
      <c r="AD13" s="36">
        <f t="shared" ref="AD13:AE13" si="7">(AD8*1.2)*0.75</f>
        <v>16155</v>
      </c>
      <c r="AE13" s="36">
        <f t="shared" si="7"/>
        <v>17055</v>
      </c>
      <c r="AF13" s="1"/>
      <c r="AG13" s="1"/>
      <c r="AH13" s="1"/>
      <c r="AI13" s="1"/>
      <c r="AJ13" s="1"/>
      <c r="AK13" s="1"/>
      <c r="AL13" s="1"/>
      <c r="AM13" s="1"/>
      <c r="AN13" s="1"/>
    </row>
    <row r="14">
      <c r="A14" s="1"/>
      <c r="B14" s="14" t="s">
        <v>75</v>
      </c>
      <c r="C14" s="49">
        <f t="shared" ref="C14:E14" si="8">C12</f>
        <v>22400</v>
      </c>
      <c r="D14" s="49">
        <f t="shared" si="8"/>
        <v>23000</v>
      </c>
      <c r="E14" s="49">
        <f t="shared" si="8"/>
        <v>14400</v>
      </c>
      <c r="F14" s="50">
        <f t="shared" ref="F14:G14" si="9">F12+F13</f>
        <v>29340</v>
      </c>
      <c r="G14" s="50">
        <f t="shared" si="9"/>
        <v>64548</v>
      </c>
      <c r="H14" s="49">
        <f>H12</f>
        <v>24000</v>
      </c>
      <c r="I14" s="49">
        <f t="shared" ref="I14:U14" si="10">I12+I13</f>
        <v>35595</v>
      </c>
      <c r="J14" s="49">
        <f t="shared" si="10"/>
        <v>29014</v>
      </c>
      <c r="K14" s="49">
        <f t="shared" si="10"/>
        <v>30644</v>
      </c>
      <c r="L14" s="49">
        <f t="shared" si="10"/>
        <v>30644</v>
      </c>
      <c r="M14" s="49">
        <f t="shared" si="10"/>
        <v>30644</v>
      </c>
      <c r="N14" s="49">
        <f t="shared" si="10"/>
        <v>30644</v>
      </c>
      <c r="O14" s="49">
        <f t="shared" si="10"/>
        <v>30644</v>
      </c>
      <c r="P14" s="49">
        <f t="shared" si="10"/>
        <v>30644</v>
      </c>
      <c r="Q14" s="49">
        <f t="shared" si="10"/>
        <v>30644</v>
      </c>
      <c r="R14" s="49">
        <f t="shared" si="10"/>
        <v>30644</v>
      </c>
      <c r="S14" s="49">
        <f t="shared" si="10"/>
        <v>30644</v>
      </c>
      <c r="T14" s="49">
        <f t="shared" si="10"/>
        <v>30644</v>
      </c>
      <c r="U14" s="49">
        <f t="shared" si="10"/>
        <v>30644</v>
      </c>
      <c r="V14" s="51">
        <f t="shared" ref="V14:AA14" si="11">V12</f>
        <v>17000</v>
      </c>
      <c r="W14" s="51">
        <f t="shared" si="11"/>
        <v>18800</v>
      </c>
      <c r="X14" s="51">
        <f t="shared" si="11"/>
        <v>18800</v>
      </c>
      <c r="Y14" s="51">
        <f t="shared" si="11"/>
        <v>18800</v>
      </c>
      <c r="Z14" s="51">
        <f t="shared" si="11"/>
        <v>18800</v>
      </c>
      <c r="AA14" s="51">
        <f t="shared" si="11"/>
        <v>13000</v>
      </c>
      <c r="AB14" s="49">
        <f t="shared" ref="AB14:AE14" si="12">AB12+AB13</f>
        <v>30644</v>
      </c>
      <c r="AC14" s="49">
        <f t="shared" si="12"/>
        <v>30644</v>
      </c>
      <c r="AD14" s="49">
        <f t="shared" si="12"/>
        <v>37695</v>
      </c>
      <c r="AE14" s="49">
        <f t="shared" si="12"/>
        <v>39795</v>
      </c>
      <c r="AF14" s="1"/>
      <c r="AG14" s="1"/>
      <c r="AH14" s="1"/>
      <c r="AI14" s="1"/>
      <c r="AJ14" s="1"/>
      <c r="AK14" s="1"/>
      <c r="AL14" s="1"/>
      <c r="AM14" s="1"/>
      <c r="AN14" s="1"/>
    </row>
    <row r="15">
      <c r="A15" s="1"/>
      <c r="B15" s="52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4"/>
      <c r="AB15" s="1"/>
      <c r="AC15" s="1"/>
      <c r="AD15" s="1"/>
      <c r="AE15" s="55"/>
      <c r="AF15" s="1"/>
      <c r="AG15" s="1"/>
      <c r="AH15" s="1"/>
      <c r="AI15" s="1"/>
      <c r="AJ15" s="1"/>
      <c r="AK15" s="1"/>
      <c r="AL15" s="1"/>
      <c r="AM15" s="1"/>
      <c r="AN15" s="1"/>
    </row>
    <row r="16">
      <c r="A16" s="1"/>
      <c r="B16" s="56" t="s">
        <v>76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55"/>
      <c r="AB16" s="1"/>
      <c r="AC16" s="1"/>
      <c r="AD16" s="1"/>
      <c r="AE16" s="55"/>
      <c r="AF16" s="1"/>
      <c r="AG16" s="1"/>
      <c r="AH16" s="1"/>
      <c r="AI16" s="1"/>
      <c r="AJ16" s="1"/>
      <c r="AK16" s="1"/>
      <c r="AL16" s="1"/>
      <c r="AM16" s="1"/>
      <c r="AN16" s="1"/>
    </row>
    <row r="17">
      <c r="A17" s="1"/>
      <c r="B17" s="56" t="s">
        <v>77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55"/>
      <c r="AB17" s="1"/>
      <c r="AC17" s="1"/>
      <c r="AD17" s="1"/>
      <c r="AE17" s="55"/>
      <c r="AF17" s="1"/>
      <c r="AG17" s="1"/>
      <c r="AH17" s="1"/>
      <c r="AI17" s="1"/>
      <c r="AJ17" s="1"/>
      <c r="AK17" s="1"/>
      <c r="AL17" s="1"/>
      <c r="AM17" s="1"/>
      <c r="AN17" s="1"/>
    </row>
    <row r="18">
      <c r="A18" s="1"/>
      <c r="B18" s="56" t="s">
        <v>78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55"/>
      <c r="AB18" s="1"/>
      <c r="AC18" s="1"/>
      <c r="AD18" s="1"/>
      <c r="AE18" s="55"/>
      <c r="AF18" s="1"/>
      <c r="AG18" s="1"/>
      <c r="AH18" s="1"/>
      <c r="AI18" s="1"/>
      <c r="AJ18" s="1"/>
      <c r="AK18" s="1"/>
      <c r="AL18" s="1"/>
      <c r="AM18" s="1"/>
      <c r="AN18" s="1"/>
    </row>
    <row r="19">
      <c r="A19" s="1" t="s">
        <v>79</v>
      </c>
      <c r="B19" s="56" t="s">
        <v>80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55"/>
      <c r="AB19" s="1"/>
      <c r="AC19" s="1"/>
      <c r="AD19" s="1"/>
      <c r="AE19" s="55"/>
      <c r="AF19" s="1"/>
      <c r="AG19" s="1"/>
      <c r="AH19" s="1"/>
      <c r="AI19" s="1"/>
      <c r="AJ19" s="1"/>
      <c r="AK19" s="1"/>
      <c r="AL19" s="1"/>
      <c r="AM19" s="1"/>
      <c r="AN19" s="1"/>
    </row>
    <row r="20">
      <c r="A20" s="1"/>
      <c r="B20" s="56" t="s">
        <v>81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5"/>
      <c r="AB20" s="1"/>
      <c r="AC20" s="1"/>
      <c r="AD20" s="1"/>
      <c r="AE20" s="55"/>
      <c r="AF20" s="1"/>
      <c r="AG20" s="1"/>
      <c r="AH20" s="1"/>
      <c r="AI20" s="1"/>
      <c r="AJ20" s="1"/>
      <c r="AK20" s="1"/>
      <c r="AL20" s="1"/>
      <c r="AM20" s="1"/>
      <c r="AN20" s="1"/>
    </row>
    <row r="21">
      <c r="A21" s="1"/>
      <c r="B21" s="56" t="s">
        <v>82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5"/>
      <c r="AB21" s="1"/>
      <c r="AC21" s="1"/>
      <c r="AD21" s="1"/>
      <c r="AE21" s="55"/>
      <c r="AF21" s="1"/>
      <c r="AG21" s="1"/>
      <c r="AH21" s="1"/>
      <c r="AI21" s="1"/>
      <c r="AJ21" s="1"/>
      <c r="AK21" s="1"/>
      <c r="AL21" s="1"/>
      <c r="AM21" s="1"/>
      <c r="AN21" s="1"/>
    </row>
    <row r="22">
      <c r="A22" s="1"/>
      <c r="B22" s="56" t="s">
        <v>83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5"/>
      <c r="AB22" s="1"/>
      <c r="AC22" s="1"/>
      <c r="AD22" s="1"/>
      <c r="AE22" s="55"/>
      <c r="AF22" s="1"/>
      <c r="AG22" s="1"/>
      <c r="AH22" s="1"/>
      <c r="AI22" s="1"/>
      <c r="AJ22" s="1"/>
      <c r="AK22" s="1"/>
      <c r="AL22" s="1"/>
      <c r="AM22" s="1"/>
      <c r="AN22" s="1"/>
    </row>
    <row r="23">
      <c r="A23" s="1" t="s">
        <v>79</v>
      </c>
      <c r="B23" s="56" t="s">
        <v>84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5"/>
      <c r="AB23" s="1"/>
      <c r="AC23" s="1"/>
      <c r="AD23" s="1"/>
      <c r="AE23" s="55"/>
      <c r="AF23" s="1"/>
      <c r="AG23" s="1"/>
      <c r="AH23" s="1"/>
      <c r="AI23" s="1"/>
      <c r="AJ23" s="1"/>
      <c r="AK23" s="1"/>
      <c r="AL23" s="1"/>
      <c r="AM23" s="1"/>
      <c r="AN23" s="1"/>
    </row>
    <row r="24">
      <c r="A24" s="1"/>
      <c r="B24" s="56" t="s">
        <v>85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55"/>
      <c r="AB24" s="1"/>
      <c r="AC24" s="1"/>
      <c r="AD24" s="1"/>
      <c r="AE24" s="55"/>
      <c r="AF24" s="1"/>
      <c r="AG24" s="1"/>
      <c r="AH24" s="1"/>
      <c r="AI24" s="1"/>
      <c r="AJ24" s="1"/>
      <c r="AK24" s="1"/>
      <c r="AL24" s="1"/>
      <c r="AM24" s="1"/>
      <c r="AN24" s="1"/>
    </row>
    <row r="25">
      <c r="A25" s="1"/>
      <c r="B25" s="57" t="s">
        <v>86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9"/>
      <c r="AB25" s="58"/>
      <c r="AC25" s="58"/>
      <c r="AD25" s="58"/>
      <c r="AE25" s="59"/>
      <c r="AF25" s="1"/>
      <c r="AG25" s="1"/>
      <c r="AH25" s="1"/>
      <c r="AI25" s="1"/>
      <c r="AJ25" s="1"/>
      <c r="AK25" s="1"/>
      <c r="AL25" s="1"/>
      <c r="AM25" s="1"/>
      <c r="AN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>
      <c r="A28" s="1"/>
      <c r="B28" s="2"/>
      <c r="C28" s="1"/>
      <c r="D28" s="2"/>
      <c r="E28" s="2"/>
      <c r="F28" s="2"/>
      <c r="G28" s="2"/>
      <c r="H28" s="2"/>
      <c r="I28" s="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>
      <c r="A29" s="1"/>
      <c r="B29" s="2"/>
      <c r="C29" s="1"/>
      <c r="D29" s="2"/>
      <c r="E29" s="2"/>
      <c r="F29" s="2"/>
      <c r="G29" s="2"/>
      <c r="H29" s="2"/>
      <c r="I29" s="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>
      <c r="A30" s="1"/>
      <c r="B30" s="2"/>
      <c r="C30" s="1"/>
      <c r="D30" s="2"/>
      <c r="E30" s="2"/>
      <c r="F30" s="2"/>
      <c r="G30" s="2"/>
      <c r="H30" s="2"/>
      <c r="I30" s="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>
      <c r="A31" s="1"/>
      <c r="B31" s="2"/>
      <c r="C31" s="1"/>
      <c r="D31" s="2"/>
      <c r="E31" s="2"/>
      <c r="F31" s="2"/>
      <c r="G31" s="2"/>
      <c r="H31" s="2"/>
      <c r="I31" s="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>
      <c r="A32" s="1"/>
      <c r="B32" s="2"/>
      <c r="C32" s="1"/>
      <c r="D32" s="2"/>
      <c r="E32" s="2"/>
      <c r="F32" s="2"/>
      <c r="G32" s="2"/>
      <c r="H32" s="2"/>
      <c r="I32" s="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>
      <c r="A33" s="1"/>
      <c r="B33" s="2"/>
      <c r="C33" s="1"/>
      <c r="D33" s="2"/>
      <c r="E33" s="2"/>
      <c r="F33" s="2"/>
      <c r="G33" s="2"/>
      <c r="H33" s="2"/>
      <c r="I33" s="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>
      <c r="A34" s="1"/>
      <c r="B34" s="2"/>
      <c r="C34" s="1"/>
      <c r="D34" s="2"/>
      <c r="E34" s="2"/>
      <c r="F34" s="2"/>
      <c r="G34" s="2"/>
      <c r="H34" s="2"/>
      <c r="I34" s="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>
      <c r="A35" s="1"/>
      <c r="B35" s="2"/>
      <c r="C35" s="1"/>
      <c r="D35" s="2"/>
      <c r="E35" s="2"/>
      <c r="F35" s="2"/>
      <c r="G35" s="2"/>
      <c r="H35" s="2"/>
      <c r="I35" s="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>
      <c r="A36" s="1"/>
      <c r="B36" s="2"/>
      <c r="C36" s="60"/>
      <c r="D36" s="2"/>
      <c r="E36" s="61"/>
      <c r="F36" s="61"/>
      <c r="G36" s="61"/>
      <c r="H36" s="61"/>
      <c r="I36" s="61"/>
      <c r="J36" s="60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>
      <c r="A37" s="1"/>
      <c r="B37" s="2"/>
      <c r="C37" s="1"/>
      <c r="D37" s="2"/>
      <c r="E37" s="2"/>
      <c r="F37" s="2"/>
      <c r="G37" s="2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>
      <c r="A38" s="1"/>
      <c r="B38" s="62" t="str">
        <f>#REF!</f>
        <v>#REF!</v>
      </c>
      <c r="C38" s="1"/>
      <c r="D38" s="62"/>
      <c r="E38" s="62" t="str">
        <f>#REF!</f>
        <v>#REF!</v>
      </c>
      <c r="F38" s="62"/>
      <c r="G38" s="62" t="str">
        <f>#REF!</f>
        <v>#REF!</v>
      </c>
      <c r="H38" s="62"/>
      <c r="I38" s="62" t="str">
        <f>#REF!</f>
        <v>#REF!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</sheetData>
  <mergeCells count="8">
    <mergeCell ref="C4:D4"/>
    <mergeCell ref="E4:G4"/>
    <mergeCell ref="K4:L4"/>
    <mergeCell ref="W4:X4"/>
    <mergeCell ref="AA4:AB4"/>
    <mergeCell ref="C5:D5"/>
    <mergeCell ref="E5:G5"/>
    <mergeCell ref="I5:AE5"/>
  </mergeCells>
  <drawing r:id="rId1"/>
</worksheet>
</file>