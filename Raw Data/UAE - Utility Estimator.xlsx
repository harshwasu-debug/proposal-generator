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or" sheetId="1" r:id="rId5"/>
    <sheet state="hidden" name="Helper" sheetId="2" r:id="rId6"/>
    <sheet state="hidden" name="Copy of Helper" sheetId="3" r:id="rId7"/>
    <sheet state="hidden" name="COL - Hot Kitchens" sheetId="4" r:id="rId8"/>
    <sheet state="hidden" name="COL - Cold Kitchens" sheetId="5" r:id="rId9"/>
    <sheet state="hidden" name="Bur1 - Hot Kitchens" sheetId="6" r:id="rId10"/>
    <sheet state="hidden" name="BB1 - Hot Kitchens" sheetId="7" r:id="rId11"/>
    <sheet state="hidden" name="BB1 - Cold Kitchens" sheetId="8" r:id="rId12"/>
    <sheet state="hidden" name="BB2 - Hot Kitchens" sheetId="9" r:id="rId13"/>
    <sheet state="hidden" name="Deira - Hot Kitchens" sheetId="10" r:id="rId14"/>
    <sheet state="hidden" name="DSO - Hot Kitchens" sheetId="11" r:id="rId15"/>
    <sheet state="hidden" name="Deira - Cold Kitchens" sheetId="12" r:id="rId16"/>
    <sheet state="hidden" name="DSO - Cold Kitchens" sheetId="13" r:id="rId17"/>
    <sheet state="hidden" name="IMPZ - Hot Kitchens" sheetId="14" r:id="rId18"/>
    <sheet state="hidden" name="IMPZ - Cold Kitchens" sheetId="15" r:id="rId19"/>
    <sheet state="hidden" name="JLT1 - Hot Kitchens" sheetId="16" r:id="rId20"/>
    <sheet state="hidden" name="JLT1 - Cold Kitchens" sheetId="17" r:id="rId21"/>
    <sheet state="hidden" name="JLT2 - Hot Kitchens" sheetId="18" r:id="rId22"/>
    <sheet state="hidden" name="Mirdif - Hot Kitchens" sheetId="19" r:id="rId23"/>
    <sheet state="hidden" name="Mirdif - Cold Kitchens" sheetId="20" r:id="rId24"/>
    <sheet state="hidden" name="MC1 - Hot Kitchens" sheetId="21" r:id="rId25"/>
    <sheet state="hidden" name="MC1 - Cold Kitchens" sheetId="22" r:id="rId26"/>
    <sheet state="hidden" name="MC2 - Hot Kitchens" sheetId="23" r:id="rId27"/>
    <sheet state="hidden" name="Quoz 1 - Hot Kitchens" sheetId="24" r:id="rId28"/>
    <sheet state="hidden" name="Quoz 2 - Hot Kitchens" sheetId="25" r:id="rId29"/>
    <sheet state="hidden" name="Sufouh - Hot Kitchens" sheetId="26" r:id="rId30"/>
    <sheet state="hidden" name="Wafi Mall - Hot Kitchens" sheetId="27" r:id="rId31"/>
    <sheet state="hidden" name="MC2 - Cold Kitchens" sheetId="28" r:id="rId32"/>
    <sheet state="hidden" name="Sufouh - Cold Kitchens" sheetId="29" r:id="rId33"/>
    <sheet state="hidden" name="Wafi Mall - Cold Kitchens" sheetId="30" r:id="rId34"/>
    <sheet state="hidden" name="LookUp" sheetId="31" r:id="rId35"/>
  </sheets>
  <definedNames/>
  <calcPr/>
</workbook>
</file>

<file path=xl/sharedStrings.xml><?xml version="1.0" encoding="utf-8"?>
<sst xmlns="http://schemas.openxmlformats.org/spreadsheetml/2006/main" count="220" uniqueCount="49">
  <si>
    <t>Select Facility and Kitchen Type</t>
  </si>
  <si>
    <t>MC1 - Hot Kitchens</t>
  </si>
  <si>
    <t>&lt;----- Input Only Here</t>
  </si>
  <si>
    <t>Important Points</t>
  </si>
  <si>
    <t>Description</t>
  </si>
  <si>
    <t>Highest Charge</t>
  </si>
  <si>
    <t>Highest Charged Month</t>
  </si>
  <si>
    <t>Lowest Charge</t>
  </si>
  <si>
    <t>Lowest Charged Month</t>
  </si>
  <si>
    <t>Average - 12 months</t>
  </si>
  <si>
    <t>1. Direct Utilities are subjective to consumption based on individual meter</t>
  </si>
  <si>
    <t>Direct Gas</t>
  </si>
  <si>
    <t>2. Extration Electricity is only for hot kitchens</t>
  </si>
  <si>
    <t>Direct Elec</t>
  </si>
  <si>
    <t>3. Others include - Water, Facility Cleaning, Garbage Collection, Maintenance, Internet, Pest Control and Sewage</t>
  </si>
  <si>
    <t>Shared Electricity (Extraction, AC, Common Area)</t>
  </si>
  <si>
    <t>Chilled Water</t>
  </si>
  <si>
    <t>4. Maintenance include Duct cleaning (Hot only), Ecology and FAHU filter (Hot only), Water dispenser &amp; Ice machine filter cost, Grease trap cleaning and Waste management (DSO only)</t>
  </si>
  <si>
    <t>Other (Pest, Maintainence, Internet, etc)</t>
  </si>
  <si>
    <t>Total</t>
  </si>
  <si>
    <t xml:space="preserve">Total - Shared Only (Other + Chilled Water + Shared Elec) </t>
  </si>
  <si>
    <t>Shared Electricity (Extraction (hot),  AC, Common Area)</t>
  </si>
  <si>
    <t>Facility</t>
  </si>
  <si>
    <t>COL - Hot Kitchens</t>
  </si>
  <si>
    <t>COL - Cold Kitchens</t>
  </si>
  <si>
    <t>Bur1 - Hot Kitchens</t>
  </si>
  <si>
    <t>BB1 - Hot Kitchens</t>
  </si>
  <si>
    <t>BB1 - Cold Kitchens</t>
  </si>
  <si>
    <t>BB2 - Hot Kitchens</t>
  </si>
  <si>
    <t>DSO - Hot Kitchens</t>
  </si>
  <si>
    <t>DSO - Cold Kitchens</t>
  </si>
  <si>
    <t>IMPZ - Hot Kitchens</t>
  </si>
  <si>
    <t>IMPZ - Cold Kitchens</t>
  </si>
  <si>
    <t>JLT1 - Hot Kitchens</t>
  </si>
  <si>
    <t>JLT1 - Cold Kitchens</t>
  </si>
  <si>
    <t>JLT2 - Hot Kitchens</t>
  </si>
  <si>
    <t>Mirdif - Hot Kitchens</t>
  </si>
  <si>
    <t>Mirdif - Cold Kitchens</t>
  </si>
  <si>
    <t>MC1 - Cold Kitchens</t>
  </si>
  <si>
    <t>MC2 - Hot Kitchens</t>
  </si>
  <si>
    <t>MC2 - Cold Kitchens</t>
  </si>
  <si>
    <t>Sufouh - Hot Kitchens</t>
  </si>
  <si>
    <t>Sufouh - Cold Kitchens</t>
  </si>
  <si>
    <t>Wafi Mall - Hot Kitchens</t>
  </si>
  <si>
    <t>Wafi Mall - Cold Kitchens</t>
  </si>
  <si>
    <t>Deira - Hot Kitchens</t>
  </si>
  <si>
    <t>Deira - Cold Kitchens</t>
  </si>
  <si>
    <t>Quoz 1 - Hot Kitchens</t>
  </si>
  <si>
    <t>Quoz 2 - Hot Kitchens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</si>
</sst>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yyyy"/>
    <numFmt numFmtId="165" formatCode="mmm yyyy"/>
  </numFmts>
  <fonts count="14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sz val="10.0"/>
      <color rgb="FF000000"/>
      <name val="Arial"/>
      <scheme val="minor"/>
    </font>
    <font>
      <b/>
      <color rgb="FFFF0000"/>
      <name val="Arial"/>
      <scheme val="minor"/>
    </font>
    <font/>
    <font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sz val="9.0"/>
      <color rgb="FF000000"/>
      <name val="&quot;Google Sans Mono&quot;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sz val="10.0"/>
      <color rgb="FF000000"/>
      <name val="Arial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</border>
    <border>
      <left style="dotted">
        <color rgb="FF000000"/>
      </left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horizontal="left" readingOrder="0"/>
    </xf>
    <xf borderId="2" fillId="2" fontId="3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0" fillId="3" fontId="1" numFmtId="0" xfId="0" applyAlignment="1" applyFill="1" applyFont="1">
      <alignment readingOrder="0" shrinkToFit="0" vertical="center" wrapText="1"/>
    </xf>
    <xf borderId="5" fillId="4" fontId="1" numFmtId="0" xfId="0" applyAlignment="1" applyBorder="1" applyFill="1" applyFont="1">
      <alignment horizontal="center" vertical="center"/>
    </xf>
    <xf borderId="5" fillId="5" fontId="1" numFmtId="0" xfId="0" applyAlignment="1" applyBorder="1" applyFill="1" applyFont="1">
      <alignment horizontal="center" vertical="center"/>
    </xf>
    <xf borderId="5" fillId="6" fontId="1" numFmtId="0" xfId="0" applyAlignment="1" applyBorder="1" applyFill="1" applyFont="1">
      <alignment horizontal="center" vertical="center"/>
    </xf>
    <xf borderId="0" fillId="3" fontId="5" numFmtId="0" xfId="0" applyAlignment="1" applyFont="1">
      <alignment readingOrder="0" shrinkToFit="0" vertical="center" wrapText="1"/>
    </xf>
    <xf borderId="6" fillId="2" fontId="4" numFmtId="0" xfId="0" applyBorder="1" applyFont="1"/>
    <xf borderId="7" fillId="7" fontId="6" numFmtId="0" xfId="0" applyBorder="1" applyFill="1" applyFont="1"/>
    <xf borderId="8" fillId="7" fontId="6" numFmtId="4" xfId="0" applyBorder="1" applyFont="1" applyNumberFormat="1"/>
    <xf borderId="9" fillId="7" fontId="5" numFmtId="164" xfId="0" applyAlignment="1" applyBorder="1" applyFont="1" applyNumberFormat="1">
      <alignment readingOrder="0"/>
    </xf>
    <xf borderId="10" fillId="7" fontId="6" numFmtId="4" xfId="0" applyBorder="1" applyFont="1" applyNumberFormat="1"/>
    <xf borderId="0" fillId="3" fontId="5" numFmtId="0" xfId="0" applyAlignment="1" applyFont="1">
      <alignment readingOrder="0" vertical="center"/>
    </xf>
    <xf borderId="11" fillId="8" fontId="6" numFmtId="0" xfId="0" applyBorder="1" applyFill="1" applyFont="1"/>
    <xf borderId="12" fillId="8" fontId="6" numFmtId="4" xfId="0" applyBorder="1" applyFont="1" applyNumberFormat="1"/>
    <xf borderId="13" fillId="8" fontId="5" numFmtId="164" xfId="0" applyAlignment="1" applyBorder="1" applyFont="1" applyNumberFormat="1">
      <alignment readingOrder="0"/>
    </xf>
    <xf borderId="14" fillId="8" fontId="6" numFmtId="4" xfId="0" applyBorder="1" applyFont="1" applyNumberFormat="1"/>
    <xf borderId="11" fillId="7" fontId="6" numFmtId="0" xfId="0" applyBorder="1" applyFont="1"/>
    <xf borderId="12" fillId="7" fontId="6" numFmtId="4" xfId="0" applyBorder="1" applyFont="1" applyNumberFormat="1"/>
    <xf borderId="13" fillId="7" fontId="5" numFmtId="164" xfId="0" applyAlignment="1" applyBorder="1" applyFont="1" applyNumberFormat="1">
      <alignment readingOrder="0"/>
    </xf>
    <xf borderId="14" fillId="7" fontId="6" numFmtId="4" xfId="0" applyBorder="1" applyFont="1" applyNumberFormat="1"/>
    <xf borderId="15" fillId="7" fontId="6" numFmtId="0" xfId="0" applyBorder="1" applyFont="1"/>
    <xf borderId="16" fillId="7" fontId="6" numFmtId="4" xfId="0" applyBorder="1" applyFont="1" applyNumberFormat="1"/>
    <xf borderId="17" fillId="7" fontId="5" numFmtId="164" xfId="0" applyAlignment="1" applyBorder="1" applyFont="1" applyNumberFormat="1">
      <alignment readingOrder="0"/>
    </xf>
    <xf borderId="18" fillId="7" fontId="6" numFmtId="4" xfId="0" applyBorder="1" applyFont="1" applyNumberFormat="1"/>
    <xf borderId="1" fillId="2" fontId="1" numFmtId="4" xfId="0" applyBorder="1" applyFont="1" applyNumberFormat="1"/>
    <xf borderId="1" fillId="4" fontId="1" numFmtId="0" xfId="0" applyAlignment="1" applyBorder="1" applyFont="1">
      <alignment readingOrder="0"/>
    </xf>
    <xf borderId="1" fillId="4" fontId="1" numFmtId="4" xfId="0" applyBorder="1" applyFont="1" applyNumberFormat="1"/>
    <xf borderId="1" fillId="4" fontId="1" numFmtId="0" xfId="0" applyBorder="1" applyFont="1"/>
    <xf borderId="8" fillId="0" fontId="7" numFmtId="0" xfId="0" applyAlignment="1" applyBorder="1" applyFont="1">
      <alignment readingOrder="0"/>
    </xf>
    <xf borderId="8" fillId="0" fontId="7" numFmtId="0" xfId="0" applyBorder="1" applyFont="1"/>
    <xf borderId="19" fillId="0" fontId="7" numFmtId="0" xfId="0" applyBorder="1" applyFont="1"/>
    <xf borderId="12" fillId="0" fontId="7" numFmtId="0" xfId="0" applyAlignment="1" applyBorder="1" applyFont="1">
      <alignment readingOrder="0"/>
    </xf>
    <xf borderId="12" fillId="0" fontId="7" numFmtId="0" xfId="0" applyBorder="1" applyFont="1"/>
    <xf borderId="20" fillId="0" fontId="7" numFmtId="0" xfId="0" applyBorder="1" applyFont="1"/>
    <xf borderId="0" fillId="0" fontId="1" numFmtId="0" xfId="0" applyFont="1"/>
    <xf borderId="0" fillId="0" fontId="7" numFmtId="0" xfId="0" applyAlignment="1" applyFont="1">
      <alignment readingOrder="0"/>
    </xf>
    <xf borderId="0" fillId="0" fontId="7" numFmtId="0" xfId="0" applyFont="1"/>
    <xf borderId="0" fillId="7" fontId="8" numFmtId="0" xfId="0" applyFont="1"/>
    <xf borderId="0" fillId="0" fontId="6" numFmtId="165" xfId="0" applyFont="1" applyNumberFormat="1"/>
    <xf borderId="0" fillId="0" fontId="6" numFmtId="0" xfId="0" applyFont="1"/>
    <xf borderId="0" fillId="0" fontId="6" numFmtId="4" xfId="0" applyFont="1" applyNumberFormat="1"/>
    <xf borderId="0" fillId="0" fontId="9" numFmtId="0" xfId="0" applyFont="1"/>
    <xf borderId="0" fillId="0" fontId="9" numFmtId="165" xfId="0" applyFont="1" applyNumberFormat="1"/>
    <xf borderId="0" fillId="0" fontId="9" numFmtId="165" xfId="0" applyAlignment="1" applyFont="1" applyNumberFormat="1">
      <alignment readingOrder="0"/>
    </xf>
    <xf borderId="0" fillId="0" fontId="10" numFmtId="0" xfId="0" applyFont="1"/>
    <xf borderId="0" fillId="0" fontId="10" numFmtId="4" xfId="0" applyAlignment="1" applyFont="1" applyNumberFormat="1">
      <alignment readingOrder="0"/>
    </xf>
    <xf borderId="0" fillId="0" fontId="6" numFmtId="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9" numFmtId="4" xfId="0" applyFont="1" applyNumberFormat="1"/>
    <xf borderId="0" fillId="0" fontId="10" numFmtId="4" xfId="0" applyFont="1" applyNumberFormat="1"/>
    <xf borderId="0" fillId="0" fontId="10" numFmtId="4" xfId="0" applyAlignment="1" applyFont="1" applyNumberFormat="1">
      <alignment horizontal="right" vertical="bottom"/>
    </xf>
    <xf borderId="0" fillId="0" fontId="12" numFmtId="0" xfId="0" applyFont="1"/>
    <xf borderId="0" fillId="0" fontId="13" numFmtId="165" xfId="0" applyAlignment="1" applyFont="1" applyNumberFormat="1">
      <alignment readingOrder="0"/>
    </xf>
    <xf borderId="0" fillId="0" fontId="13" numFmtId="0" xfId="0" applyFont="1"/>
    <xf borderId="0" fillId="0" fontId="12" numFmtId="4" xfId="0" applyFont="1" applyNumberFormat="1"/>
    <xf borderId="0" fillId="0" fontId="10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Utility Trend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'Copy of Helper'!$A$2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'Copy of Helper'!$B$1:$N$1</c:f>
            </c:strRef>
          </c:cat>
          <c:val>
            <c:numRef>
              <c:f>'Copy of Helper'!$B$2:$N$2</c:f>
              <c:numCache/>
            </c:numRef>
          </c:val>
        </c:ser>
        <c:ser>
          <c:idx val="1"/>
          <c:order val="1"/>
          <c:tx>
            <c:strRef>
              <c:f>'Copy of Helper'!$A$3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'Copy of Helper'!$B$1:$N$1</c:f>
            </c:strRef>
          </c:cat>
          <c:val>
            <c:numRef>
              <c:f>'Copy of Helper'!$B$3:$N$3</c:f>
              <c:numCache/>
            </c:numRef>
          </c:val>
        </c:ser>
        <c:ser>
          <c:idx val="2"/>
          <c:order val="2"/>
          <c:tx>
            <c:strRef>
              <c:f>'Copy of Helper'!$A$4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'Copy of Helper'!$B$1:$N$1</c:f>
            </c:strRef>
          </c:cat>
          <c:val>
            <c:numRef>
              <c:f>'Copy of Helper'!$B$4:$N$4</c:f>
              <c:numCache/>
            </c:numRef>
          </c:val>
        </c:ser>
        <c:overlap val="100"/>
        <c:axId val="1600246288"/>
        <c:axId val="1897868850"/>
      </c:barChart>
      <c:catAx>
        <c:axId val="160024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868850"/>
      </c:catAx>
      <c:valAx>
        <c:axId val="18978688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- Shared Only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02462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0</xdr:rowOff>
    </xdr:from>
    <xdr:ext cx="14716125" cy="3124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6.63"/>
    <col customWidth="1" min="2" max="4" width="21.63"/>
    <col customWidth="1" min="5" max="5" width="19.5"/>
    <col customWidth="1" min="6" max="6" width="17.13"/>
    <col customWidth="1" min="7" max="9" width="15.1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5"/>
      <c r="G1" s="6" t="s">
        <v>3</v>
      </c>
    </row>
    <row r="2">
      <c r="A2" s="7" t="s">
        <v>4</v>
      </c>
      <c r="B2" s="8" t="s">
        <v>5</v>
      </c>
      <c r="C2" s="8" t="s">
        <v>6</v>
      </c>
      <c r="D2" s="9" t="s">
        <v>7</v>
      </c>
      <c r="E2" s="9" t="s">
        <v>8</v>
      </c>
      <c r="F2" s="7" t="s">
        <v>9</v>
      </c>
      <c r="G2" s="10" t="s">
        <v>10</v>
      </c>
    </row>
    <row r="3">
      <c r="A3" s="11"/>
      <c r="B3" s="11"/>
      <c r="C3" s="11"/>
      <c r="D3" s="11"/>
      <c r="E3" s="11"/>
      <c r="F3" s="11"/>
    </row>
    <row r="4">
      <c r="A4" s="12" t="s">
        <v>11</v>
      </c>
      <c r="B4" s="13">
        <f t="array" ref="B4">MAX(INDIRECT("'" &amp; $B$1 &amp; "'!B2:Z2"))</f>
        <v>2727.87</v>
      </c>
      <c r="C4" s="14">
        <f t="shared" ref="C4:C8" si="1">IFERROR(
  INDEX(INDIRECT("'"&amp;$B$1&amp;"'!1:1"),
    1,
    MATCH(
      TRUE,
      MMULT(
        TRANSPOSE(--(UPPER(INDIRECT("'"&amp;$B$1&amp;"'!A:Z"))=UPPER(TRIM(B4)))),
        SEQUENCE(ROWS(INDIRECT("'"&amp;$B$1&amp;"'!A:Z")),1,1,0)*0+1
      )&gt;0,
    0)
  ),
"Not found")</f>
        <v>45748</v>
      </c>
      <c r="D4" s="13">
        <f t="array" ref="D4">MIN(INDIRECT("'" &amp; $B$1 &amp; "'!B2:Z2"))</f>
        <v>1875.31</v>
      </c>
      <c r="E4" s="14">
        <f t="shared" ref="E4:E8" si="2">IFERROR(
  INDEX(INDIRECT("'"&amp;$B$1&amp;"'!1:1"),
    1,
    MATCH(
      TRUE,
      MMULT(
        TRANSPOSE(--(UPPER(INDIRECT("'"&amp;$B$1&amp;"'!A:Z"))=UPPER(TRIM(D4)))),
        SEQUENCE(ROWS(INDIRECT("'"&amp;$B$1&amp;"'!A:Z")),1,1,0)*0+1
      )&gt;0,
    0)
  ),
"Not found")</f>
        <v>45717</v>
      </c>
      <c r="F4" s="15">
        <f t="array" ref="F4">AVERAGE(INDIRECT("'" &amp; $B$1 &amp; "'!B2:Z2"))</f>
        <v>2493.501538</v>
      </c>
      <c r="G4" s="16" t="s">
        <v>12</v>
      </c>
    </row>
    <row r="5">
      <c r="A5" s="17" t="s">
        <v>13</v>
      </c>
      <c r="B5" s="18">
        <f t="array" ref="B5">MAX(INDIRECT("'" &amp; $B$1 &amp; "'!$B3:$Z3"))</f>
        <v>489.14</v>
      </c>
      <c r="C5" s="19">
        <f t="shared" si="1"/>
        <v>45870</v>
      </c>
      <c r="D5" s="18">
        <f t="array" ref="D5">MIN(INDIRECT("'" &amp; $B$1 &amp; "'!$B3:$Z3"))</f>
        <v>304.86</v>
      </c>
      <c r="E5" s="19">
        <f t="shared" si="2"/>
        <v>45717</v>
      </c>
      <c r="F5" s="20">
        <f t="array" ref="F5">AVERAGE(INDIRECT("'" &amp; $B$1 &amp; "'!$B3:$Z3"))</f>
        <v>432.0105917</v>
      </c>
      <c r="G5" s="10" t="s">
        <v>14</v>
      </c>
    </row>
    <row r="6">
      <c r="A6" s="21" t="s">
        <v>15</v>
      </c>
      <c r="B6" s="22">
        <f t="array" ref="B6">MAX(INDIRECT("'" &amp; $B$1 &amp; "'!$B4:$Z4"))</f>
        <v>1081.34</v>
      </c>
      <c r="C6" s="23">
        <f t="shared" si="1"/>
        <v>46082</v>
      </c>
      <c r="D6" s="22">
        <f t="array" ref="D6">MIN(INDIRECT("'" &amp; $B$1 &amp; "'!$B4:$Z4"))</f>
        <v>753.62</v>
      </c>
      <c r="E6" s="23">
        <f t="shared" si="2"/>
        <v>45778</v>
      </c>
      <c r="F6" s="24">
        <f t="array" ref="F6">AVERAGE(INDIRECT("'" &amp; $B$1 &amp; "'!$B4:$Z4"))</f>
        <v>896.7269231</v>
      </c>
    </row>
    <row r="7">
      <c r="A7" s="17" t="s">
        <v>16</v>
      </c>
      <c r="B7" s="18">
        <f t="array" ref="B7">MAX(INDIRECT("'" &amp; $B$1 &amp; "'!$B5:$Z5"))</f>
        <v>3381.02</v>
      </c>
      <c r="C7" s="19">
        <f t="shared" si="1"/>
        <v>45901</v>
      </c>
      <c r="D7" s="18">
        <f t="array" ref="D7">MIN(INDIRECT("'" &amp; $B$1 &amp; "'!$B5:$Z5"))</f>
        <v>765</v>
      </c>
      <c r="E7" s="19">
        <f t="shared" si="2"/>
        <v>46023</v>
      </c>
      <c r="F7" s="20">
        <f t="array" ref="F7">AVERAGE(INDIRECT("'" &amp; $B$1 &amp; "'!$B5:$Z5"))</f>
        <v>1886.945593</v>
      </c>
      <c r="G7" s="10" t="s">
        <v>17</v>
      </c>
    </row>
    <row r="8">
      <c r="A8" s="25" t="s">
        <v>18</v>
      </c>
      <c r="B8" s="26">
        <f t="array" ref="B8">MAX(INDIRECT("'" &amp; $B$1 &amp; "'!$B6:$Z6"))</f>
        <v>2055.59</v>
      </c>
      <c r="C8" s="27">
        <f t="shared" si="1"/>
        <v>46054</v>
      </c>
      <c r="D8" s="26">
        <f t="array" ref="D8">MIN(INDIRECT("'" &amp; $B$1 &amp; "'!$B6:$Z6"))</f>
        <v>1477.02</v>
      </c>
      <c r="E8" s="23">
        <f t="shared" si="2"/>
        <v>45809</v>
      </c>
      <c r="F8" s="28">
        <f t="array" ref="F8">AVERAGE(INDIRECT("'" &amp; $B$1 &amp; "'!$B6:$Z6"))</f>
        <v>1834.653077</v>
      </c>
    </row>
    <row r="9">
      <c r="A9" s="1" t="s">
        <v>19</v>
      </c>
      <c r="B9" s="29">
        <f>SUM(B4:B8)</f>
        <v>9734.96</v>
      </c>
      <c r="C9" s="29"/>
      <c r="D9" s="29">
        <f>SUM(D4:D8)</f>
        <v>5175.81</v>
      </c>
      <c r="E9" s="29"/>
      <c r="F9" s="29">
        <f>SUM(F4:F8)</f>
        <v>7543.837723</v>
      </c>
    </row>
    <row r="10">
      <c r="A10" s="30" t="s">
        <v>20</v>
      </c>
      <c r="B10" s="31">
        <f>sum(B6:B8)</f>
        <v>6517.95</v>
      </c>
      <c r="C10" s="32"/>
      <c r="D10" s="31">
        <f>sum(D6:D8)</f>
        <v>2995.64</v>
      </c>
      <c r="E10" s="32"/>
      <c r="F10" s="31">
        <f>sum(F6:F8)</f>
        <v>4618.325593</v>
      </c>
    </row>
    <row r="11">
      <c r="A11" s="33"/>
      <c r="B11" s="34"/>
      <c r="C11" s="34"/>
      <c r="D11" s="34"/>
      <c r="E11" s="35"/>
      <c r="F11" s="35"/>
    </row>
    <row r="12">
      <c r="A12" s="36"/>
      <c r="B12" s="37"/>
      <c r="C12" s="37"/>
      <c r="D12" s="37"/>
      <c r="E12" s="38"/>
      <c r="F12" s="38"/>
    </row>
    <row r="13">
      <c r="A13" s="36"/>
      <c r="B13" s="37"/>
      <c r="C13" s="37"/>
      <c r="D13" s="37"/>
      <c r="E13" s="38"/>
      <c r="F13" s="38"/>
      <c r="G13" s="39"/>
      <c r="H13" s="39"/>
      <c r="I13" s="39"/>
    </row>
    <row r="14">
      <c r="A14" s="36"/>
      <c r="B14" s="37"/>
      <c r="C14" s="37"/>
      <c r="D14" s="37"/>
      <c r="E14" s="38"/>
      <c r="F14" s="38"/>
      <c r="G14" s="39"/>
      <c r="H14" s="39"/>
      <c r="I14" s="39"/>
    </row>
    <row r="15">
      <c r="A15" s="36"/>
      <c r="B15" s="37"/>
      <c r="C15" s="37"/>
      <c r="D15" s="37"/>
      <c r="E15" s="38"/>
      <c r="F15" s="38"/>
      <c r="G15" s="39"/>
      <c r="H15" s="39"/>
      <c r="I15" s="39"/>
    </row>
    <row r="16">
      <c r="A16" s="36"/>
      <c r="B16" s="37"/>
      <c r="C16" s="37"/>
      <c r="D16" s="37"/>
      <c r="E16" s="38"/>
      <c r="F16" s="38"/>
      <c r="G16" s="39"/>
      <c r="H16" s="39"/>
      <c r="I16" s="39"/>
    </row>
    <row r="17">
      <c r="A17" s="36"/>
      <c r="B17" s="37"/>
      <c r="C17" s="37"/>
      <c r="D17" s="37"/>
      <c r="E17" s="38"/>
      <c r="F17" s="38"/>
      <c r="G17" s="39"/>
      <c r="H17" s="39"/>
      <c r="I17" s="39"/>
    </row>
    <row r="18">
      <c r="A18" s="36"/>
      <c r="B18" s="37"/>
      <c r="C18" s="37"/>
      <c r="D18" s="37"/>
      <c r="E18" s="38"/>
      <c r="F18" s="38"/>
      <c r="G18" s="39"/>
      <c r="H18" s="39"/>
      <c r="I18" s="39"/>
    </row>
    <row r="19">
      <c r="A19" s="36"/>
      <c r="B19" s="37"/>
      <c r="C19" s="37"/>
      <c r="D19" s="37"/>
      <c r="E19" s="38"/>
      <c r="F19" s="38"/>
      <c r="G19" s="39"/>
      <c r="H19" s="39"/>
      <c r="I19" s="39"/>
    </row>
    <row r="20">
      <c r="A20" s="36"/>
      <c r="B20" s="37"/>
      <c r="C20" s="37"/>
      <c r="D20" s="37"/>
      <c r="E20" s="38"/>
      <c r="F20" s="38"/>
      <c r="G20" s="39"/>
      <c r="H20" s="39"/>
      <c r="I20" s="39"/>
    </row>
    <row r="21">
      <c r="A21" s="36"/>
      <c r="B21" s="37"/>
      <c r="C21" s="37"/>
      <c r="D21" s="37"/>
      <c r="E21" s="38"/>
      <c r="F21" s="38"/>
      <c r="G21" s="39"/>
      <c r="H21" s="39"/>
      <c r="I21" s="39"/>
    </row>
    <row r="22">
      <c r="A22" s="36"/>
      <c r="B22" s="37"/>
      <c r="C22" s="37"/>
      <c r="D22" s="37"/>
      <c r="E22" s="38"/>
      <c r="F22" s="38"/>
      <c r="G22" s="39"/>
      <c r="H22" s="39"/>
      <c r="I22" s="39"/>
    </row>
    <row r="23">
      <c r="A23" s="36"/>
      <c r="B23" s="37"/>
      <c r="C23" s="37"/>
      <c r="D23" s="37"/>
      <c r="E23" s="38"/>
      <c r="F23" s="38"/>
      <c r="G23" s="39"/>
      <c r="H23" s="39"/>
      <c r="I23" s="39"/>
    </row>
    <row r="24">
      <c r="A24" s="36"/>
      <c r="B24" s="37"/>
      <c r="C24" s="37"/>
      <c r="D24" s="37"/>
      <c r="E24" s="38"/>
      <c r="F24" s="38"/>
      <c r="G24" s="39"/>
      <c r="H24" s="39"/>
      <c r="I24" s="39"/>
    </row>
    <row r="25">
      <c r="A25" s="36"/>
      <c r="B25" s="37"/>
      <c r="C25" s="37"/>
      <c r="D25" s="37"/>
      <c r="E25" s="38"/>
      <c r="F25" s="38"/>
      <c r="G25" s="39"/>
      <c r="H25" s="39"/>
      <c r="I25" s="39"/>
    </row>
    <row r="26">
      <c r="A26" s="40"/>
      <c r="B26" s="41"/>
      <c r="C26" s="41"/>
      <c r="D26" s="41"/>
      <c r="E26" s="41"/>
      <c r="F26" s="41"/>
      <c r="G26" s="39"/>
      <c r="H26" s="39"/>
      <c r="I26" s="39"/>
    </row>
    <row r="27">
      <c r="A27" s="40"/>
      <c r="B27" s="41"/>
      <c r="C27" s="41"/>
      <c r="D27" s="41"/>
      <c r="E27" s="41"/>
      <c r="F27" s="41"/>
      <c r="G27" s="39"/>
      <c r="H27" s="39"/>
      <c r="I27" s="39"/>
    </row>
  </sheetData>
  <mergeCells count="12">
    <mergeCell ref="F2:F3"/>
    <mergeCell ref="G2:I3"/>
    <mergeCell ref="G4:I4"/>
    <mergeCell ref="G5:I6"/>
    <mergeCell ref="G7:I10"/>
    <mergeCell ref="C1:F1"/>
    <mergeCell ref="G1:I1"/>
    <mergeCell ref="A2:A3"/>
    <mergeCell ref="B2:B3"/>
    <mergeCell ref="C2:C3"/>
    <mergeCell ref="D2:D3"/>
    <mergeCell ref="E2:E3"/>
  </mergeCells>
  <dataValidations>
    <dataValidation type="list" allowBlank="1" showErrorMessage="1" sqref="B1">
      <formula1>LookUp!$A2:$A27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25"/>
  </cols>
  <sheetData>
    <row r="1">
      <c r="A1" s="42" t="str">
        <f t="array" ref="A1:U100">INDIRECT("'" &amp; Estimator!B1 &amp; "'!A1:Z100")</f>
        <v>Description</v>
      </c>
      <c r="B1" s="43">
        <v>45717.0</v>
      </c>
      <c r="C1" s="43">
        <v>45748.0</v>
      </c>
      <c r="D1" s="43">
        <v>45778.0</v>
      </c>
      <c r="E1" s="43">
        <v>45809.0</v>
      </c>
      <c r="F1" s="43">
        <v>45839.0</v>
      </c>
      <c r="G1" s="43">
        <v>45870.0</v>
      </c>
      <c r="H1" s="43">
        <v>45901.0</v>
      </c>
      <c r="I1" s="43">
        <v>45931.0</v>
      </c>
      <c r="J1" s="43">
        <v>45962.0</v>
      </c>
      <c r="K1" s="43">
        <v>45992.0</v>
      </c>
      <c r="L1" s="43">
        <v>46023.0</v>
      </c>
      <c r="M1" s="43">
        <v>46054.0</v>
      </c>
      <c r="N1" s="43">
        <v>46082.0</v>
      </c>
      <c r="O1" s="43"/>
      <c r="P1" s="43"/>
      <c r="Q1" s="43"/>
      <c r="R1" s="43"/>
      <c r="S1" s="43"/>
      <c r="T1" s="43"/>
      <c r="U1" s="43"/>
    </row>
    <row r="2">
      <c r="A2" s="44" t="s">
        <v>11</v>
      </c>
      <c r="B2" s="45">
        <v>1875.31</v>
      </c>
      <c r="C2" s="45">
        <v>2727.87</v>
      </c>
      <c r="D2" s="45">
        <v>2486.98</v>
      </c>
      <c r="E2" s="45">
        <v>2385.73</v>
      </c>
      <c r="F2" s="45">
        <v>2265.25</v>
      </c>
      <c r="G2" s="45">
        <v>2698.47</v>
      </c>
      <c r="H2" s="45">
        <v>2589.67</v>
      </c>
      <c r="I2" s="45">
        <v>2590.8</v>
      </c>
      <c r="J2" s="45">
        <v>2520.0</v>
      </c>
      <c r="K2" s="45">
        <v>2537.25</v>
      </c>
      <c r="L2" s="45">
        <v>2675.38</v>
      </c>
      <c r="M2" s="45">
        <v>2555.31</v>
      </c>
      <c r="N2" s="45">
        <v>2507.5</v>
      </c>
      <c r="O2" s="45"/>
      <c r="P2" s="45"/>
      <c r="Q2" s="45"/>
      <c r="R2" s="45"/>
      <c r="S2" s="45"/>
      <c r="T2" s="45"/>
      <c r="U2" s="45"/>
    </row>
    <row r="3">
      <c r="A3" s="44" t="s">
        <v>13</v>
      </c>
      <c r="B3" s="45">
        <v>304.86</v>
      </c>
      <c r="C3" s="45">
        <v>423.0276923076923</v>
      </c>
      <c r="D3" s="45">
        <v>410.5</v>
      </c>
      <c r="E3" s="45">
        <v>413.92</v>
      </c>
      <c r="F3" s="45">
        <v>416.5</v>
      </c>
      <c r="G3" s="45">
        <v>489.14</v>
      </c>
      <c r="H3" s="45">
        <v>448.1</v>
      </c>
      <c r="I3" s="45">
        <v>482.02</v>
      </c>
      <c r="J3" s="45">
        <v>433.78</v>
      </c>
      <c r="K3" s="45">
        <v>441.99</v>
      </c>
      <c r="L3" s="45">
        <v>473.74</v>
      </c>
      <c r="M3" s="45">
        <v>441.16</v>
      </c>
      <c r="N3" s="45">
        <v>437.4</v>
      </c>
      <c r="O3" s="45"/>
      <c r="P3" s="45"/>
      <c r="Q3" s="45"/>
      <c r="R3" s="45"/>
      <c r="S3" s="45"/>
      <c r="T3" s="45"/>
      <c r="U3" s="45"/>
    </row>
    <row r="4">
      <c r="A4" s="44" t="s">
        <v>21</v>
      </c>
      <c r="B4" s="45">
        <v>865.17</v>
      </c>
      <c r="C4" s="45">
        <v>880.1299999999999</v>
      </c>
      <c r="D4" s="45">
        <v>753.62</v>
      </c>
      <c r="E4" s="45">
        <v>871.15</v>
      </c>
      <c r="F4" s="45">
        <v>818.17</v>
      </c>
      <c r="G4" s="45">
        <v>984.44</v>
      </c>
      <c r="H4" s="45">
        <v>1041.56</v>
      </c>
      <c r="I4" s="45">
        <v>842.17</v>
      </c>
      <c r="J4" s="45">
        <v>884.03</v>
      </c>
      <c r="K4" s="45">
        <v>756.16</v>
      </c>
      <c r="L4" s="45">
        <v>825.55</v>
      </c>
      <c r="M4" s="45">
        <v>1053.96</v>
      </c>
      <c r="N4" s="45">
        <v>1081.34</v>
      </c>
      <c r="O4" s="45"/>
      <c r="P4" s="45"/>
      <c r="Q4" s="45"/>
      <c r="R4" s="45"/>
      <c r="S4" s="45"/>
      <c r="T4" s="45"/>
      <c r="U4" s="45"/>
    </row>
    <row r="5">
      <c r="A5" s="44" t="s">
        <v>16</v>
      </c>
      <c r="B5" s="45">
        <v>1117.54</v>
      </c>
      <c r="C5" s="45">
        <v>1658.78270740867</v>
      </c>
      <c r="D5" s="45">
        <v>2290.93</v>
      </c>
      <c r="E5" s="45">
        <v>2376.58</v>
      </c>
      <c r="F5" s="45">
        <v>2598.07</v>
      </c>
      <c r="G5" s="45">
        <v>3348.51</v>
      </c>
      <c r="H5" s="45">
        <v>3381.02</v>
      </c>
      <c r="I5" s="45">
        <v>2115.69</v>
      </c>
      <c r="J5" s="45">
        <v>1699.61</v>
      </c>
      <c r="K5" s="45">
        <v>1207.9</v>
      </c>
      <c r="L5" s="45">
        <v>765.0</v>
      </c>
      <c r="M5" s="45">
        <v>925.98</v>
      </c>
      <c r="N5" s="45">
        <v>1044.68</v>
      </c>
      <c r="O5" s="45"/>
      <c r="P5" s="45"/>
      <c r="Q5" s="45"/>
      <c r="R5" s="45"/>
      <c r="S5" s="45"/>
      <c r="T5" s="45"/>
      <c r="U5" s="45"/>
    </row>
    <row r="6">
      <c r="A6" s="44" t="s">
        <v>18</v>
      </c>
      <c r="B6" s="45">
        <v>1832.72</v>
      </c>
      <c r="C6" s="45">
        <v>1837.68</v>
      </c>
      <c r="D6" s="45">
        <v>1817.08</v>
      </c>
      <c r="E6" s="45">
        <v>1477.02</v>
      </c>
      <c r="F6" s="45">
        <v>1770.83</v>
      </c>
      <c r="G6" s="45">
        <v>1819.6</v>
      </c>
      <c r="H6" s="45">
        <v>1948.17</v>
      </c>
      <c r="I6" s="45">
        <v>1886.31</v>
      </c>
      <c r="J6" s="45">
        <v>1945.8</v>
      </c>
      <c r="K6" s="45">
        <v>1525.2</v>
      </c>
      <c r="L6" s="45">
        <v>1955.27</v>
      </c>
      <c r="M6" s="45">
        <v>2055.59</v>
      </c>
      <c r="N6" s="45">
        <v>1979.22</v>
      </c>
      <c r="O6" s="45"/>
      <c r="P6" s="45"/>
      <c r="Q6" s="45"/>
      <c r="R6" s="45"/>
      <c r="S6" s="45"/>
      <c r="T6" s="45"/>
      <c r="U6" s="4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2" t="s">
        <v>4</v>
      </c>
      <c r="B1" s="43">
        <f>Helper!B1</f>
        <v>45717</v>
      </c>
      <c r="C1" s="43">
        <f>Helper!C1</f>
        <v>45748</v>
      </c>
      <c r="D1" s="43">
        <f>Helper!D1</f>
        <v>45778</v>
      </c>
      <c r="E1" s="43">
        <f>Helper!E1</f>
        <v>45809</v>
      </c>
      <c r="F1" s="43">
        <f>Helper!F1</f>
        <v>45839</v>
      </c>
      <c r="G1" s="43">
        <f>Helper!G1</f>
        <v>45870</v>
      </c>
      <c r="H1" s="43">
        <f>Helper!H1</f>
        <v>45901</v>
      </c>
      <c r="I1" s="43">
        <f>Helper!I1</f>
        <v>45931</v>
      </c>
      <c r="J1" s="43">
        <f>Helper!J1</f>
        <v>45962</v>
      </c>
      <c r="K1" s="43">
        <f>Helper!K1</f>
        <v>45992</v>
      </c>
      <c r="L1" s="43">
        <f>Helper!L1</f>
        <v>46023</v>
      </c>
      <c r="M1" s="43">
        <f>Helper!M1</f>
        <v>46054</v>
      </c>
      <c r="N1" s="43">
        <f>Helper!N1</f>
        <v>46082</v>
      </c>
    </row>
    <row r="2">
      <c r="A2" s="44" t="s">
        <v>21</v>
      </c>
      <c r="B2" s="45">
        <f>Helper!B4</f>
        <v>865.17</v>
      </c>
      <c r="C2" s="45">
        <f>Helper!C4</f>
        <v>880.13</v>
      </c>
      <c r="D2" s="45">
        <f>Helper!D4</f>
        <v>753.62</v>
      </c>
      <c r="E2" s="45">
        <f>Helper!E4</f>
        <v>871.15</v>
      </c>
      <c r="F2" s="45">
        <f>Helper!F4</f>
        <v>818.17</v>
      </c>
      <c r="G2" s="45">
        <f>Helper!G4</f>
        <v>984.44</v>
      </c>
      <c r="H2" s="45">
        <f>Helper!H4</f>
        <v>1041.56</v>
      </c>
      <c r="I2" s="45">
        <f>Helper!I4</f>
        <v>842.17</v>
      </c>
      <c r="J2" s="45">
        <f>Helper!J4</f>
        <v>884.03</v>
      </c>
      <c r="K2" s="45">
        <f>Helper!K4</f>
        <v>756.16</v>
      </c>
      <c r="L2" s="45">
        <f>Helper!L4</f>
        <v>825.55</v>
      </c>
      <c r="M2" s="45">
        <f>Helper!M4</f>
        <v>1053.96</v>
      </c>
      <c r="N2" s="45">
        <f>Helper!N4</f>
        <v>1081.34</v>
      </c>
    </row>
    <row r="3">
      <c r="A3" s="44" t="s">
        <v>16</v>
      </c>
      <c r="B3" s="45">
        <f>Helper!B5</f>
        <v>1117.54</v>
      </c>
      <c r="C3" s="45">
        <f>Helper!C5</f>
        <v>1658.782707</v>
      </c>
      <c r="D3" s="45">
        <f>Helper!D5</f>
        <v>2290.93</v>
      </c>
      <c r="E3" s="45">
        <f>Helper!E5</f>
        <v>2376.58</v>
      </c>
      <c r="F3" s="45">
        <f>Helper!F5</f>
        <v>2598.07</v>
      </c>
      <c r="G3" s="45">
        <f>Helper!G5</f>
        <v>3348.51</v>
      </c>
      <c r="H3" s="45">
        <f>Helper!H5</f>
        <v>3381.02</v>
      </c>
      <c r="I3" s="45">
        <f>Helper!I5</f>
        <v>2115.69</v>
      </c>
      <c r="J3" s="45">
        <f>Helper!J5</f>
        <v>1699.61</v>
      </c>
      <c r="K3" s="45">
        <f>Helper!K5</f>
        <v>1207.9</v>
      </c>
      <c r="L3" s="45">
        <f>Helper!L5</f>
        <v>765</v>
      </c>
      <c r="M3" s="45">
        <f>Helper!M5</f>
        <v>925.98</v>
      </c>
      <c r="N3" s="45">
        <f>Helper!N5</f>
        <v>1044.68</v>
      </c>
    </row>
    <row r="4">
      <c r="A4" s="44" t="s">
        <v>18</v>
      </c>
      <c r="B4" s="45">
        <f>Helper!B6</f>
        <v>1832.72</v>
      </c>
      <c r="C4" s="45">
        <f>Helper!C6</f>
        <v>1837.68</v>
      </c>
      <c r="D4" s="45">
        <f>Helper!D6</f>
        <v>1817.08</v>
      </c>
      <c r="E4" s="45">
        <f>Helper!E6</f>
        <v>1477.02</v>
      </c>
      <c r="F4" s="45">
        <f>Helper!F6</f>
        <v>1770.83</v>
      </c>
      <c r="G4" s="45">
        <f>Helper!G6</f>
        <v>1819.6</v>
      </c>
      <c r="H4" s="45">
        <f>Helper!H6</f>
        <v>1948.17</v>
      </c>
      <c r="I4" s="45">
        <f>Helper!I6</f>
        <v>1886.31</v>
      </c>
      <c r="J4" s="45">
        <f>Helper!J6</f>
        <v>1945.8</v>
      </c>
      <c r="K4" s="45">
        <f>Helper!K6</f>
        <v>1525.2</v>
      </c>
      <c r="L4" s="45">
        <f>Helper!L6</f>
        <v>1955.27</v>
      </c>
      <c r="M4" s="45">
        <f>Helper!M6</f>
        <v>2055.59</v>
      </c>
      <c r="N4" s="45">
        <f>Helper!N6</f>
        <v>1979.22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25"/>
  </cols>
  <sheetData>
    <row r="1" ht="15.75" customHeight="1">
      <c r="A1" s="46" t="s">
        <v>4</v>
      </c>
      <c r="B1" s="47">
        <v>45717.0</v>
      </c>
      <c r="C1" s="48">
        <v>45748.0</v>
      </c>
      <c r="D1" s="48">
        <v>45778.0</v>
      </c>
      <c r="E1" s="47">
        <v>45809.0</v>
      </c>
      <c r="F1" s="48">
        <v>45839.0</v>
      </c>
      <c r="G1" s="48">
        <v>45870.0</v>
      </c>
      <c r="H1" s="47">
        <v>45901.0</v>
      </c>
      <c r="I1" s="48">
        <v>45931.0</v>
      </c>
      <c r="J1" s="48">
        <v>45962.0</v>
      </c>
      <c r="K1" s="47">
        <v>45992.0</v>
      </c>
      <c r="L1" s="48">
        <v>46023.0</v>
      </c>
      <c r="M1" s="48">
        <v>46054.0</v>
      </c>
      <c r="N1" s="47">
        <v>46082.0</v>
      </c>
    </row>
    <row r="2" ht="15.75" customHeight="1">
      <c r="A2" s="49" t="s">
        <v>11</v>
      </c>
      <c r="B2" s="50">
        <v>843.97</v>
      </c>
      <c r="C2" s="50">
        <v>1268.16</v>
      </c>
      <c r="D2" s="50">
        <v>1193.46</v>
      </c>
      <c r="E2" s="50">
        <v>1274.81</v>
      </c>
      <c r="F2" s="50">
        <v>1192.82</v>
      </c>
      <c r="G2" s="45">
        <v>1367.6092307692306</v>
      </c>
      <c r="H2" s="51">
        <v>1473.06</v>
      </c>
      <c r="I2" s="51">
        <v>1601.85</v>
      </c>
      <c r="J2" s="51">
        <v>1552.66</v>
      </c>
      <c r="K2" s="45">
        <v>1276.92</v>
      </c>
      <c r="L2" s="52">
        <v>1226.2</v>
      </c>
      <c r="M2" s="45">
        <v>1926.18</v>
      </c>
      <c r="N2" s="51">
        <v>1393.93</v>
      </c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</row>
    <row r="3" ht="15.75" customHeight="1">
      <c r="A3" s="49" t="s">
        <v>13</v>
      </c>
      <c r="B3" s="50">
        <v>84.43</v>
      </c>
      <c r="C3" s="50">
        <v>132.63</v>
      </c>
      <c r="D3" s="50">
        <v>159.46</v>
      </c>
      <c r="E3" s="50">
        <v>150.59</v>
      </c>
      <c r="F3" s="50">
        <v>151.1</v>
      </c>
      <c r="G3" s="45">
        <v>165.25846153846155</v>
      </c>
      <c r="H3" s="51">
        <v>177.68</v>
      </c>
      <c r="I3" s="51">
        <v>170.96</v>
      </c>
      <c r="J3" s="51">
        <v>155.7</v>
      </c>
      <c r="K3" s="45">
        <v>146.94</v>
      </c>
      <c r="L3" s="52">
        <v>120.55</v>
      </c>
      <c r="M3" s="45">
        <v>177.93</v>
      </c>
      <c r="N3" s="51">
        <v>132.42</v>
      </c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</row>
    <row r="4" ht="15.75" customHeight="1">
      <c r="A4" s="49" t="s">
        <v>21</v>
      </c>
      <c r="B4" s="50">
        <v>248.27</v>
      </c>
      <c r="C4" s="50">
        <v>281.02</v>
      </c>
      <c r="D4" s="50">
        <v>302.89</v>
      </c>
      <c r="E4" s="50">
        <v>325.69</v>
      </c>
      <c r="F4" s="50">
        <v>294.27</v>
      </c>
      <c r="G4" s="45">
        <v>461.32</v>
      </c>
      <c r="H4" s="51">
        <v>358.33</v>
      </c>
      <c r="I4" s="51">
        <v>378.96</v>
      </c>
      <c r="J4" s="51">
        <v>410.28</v>
      </c>
      <c r="K4" s="45">
        <v>313.49</v>
      </c>
      <c r="L4" s="52">
        <v>231.22</v>
      </c>
      <c r="M4" s="45">
        <v>376.87</v>
      </c>
      <c r="N4" s="51">
        <v>468.02</v>
      </c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</row>
    <row r="5" ht="15.75" customHeight="1">
      <c r="A5" s="49" t="s">
        <v>16</v>
      </c>
      <c r="B5" s="50">
        <v>80.95</v>
      </c>
      <c r="C5" s="50">
        <v>93.23</v>
      </c>
      <c r="D5" s="50">
        <v>181.99</v>
      </c>
      <c r="E5" s="50">
        <v>377.3</v>
      </c>
      <c r="F5" s="50">
        <v>627.9</v>
      </c>
      <c r="G5" s="45">
        <v>942.1947089871089</v>
      </c>
      <c r="H5" s="51">
        <v>1246.73</v>
      </c>
      <c r="I5" s="51">
        <v>1092.34</v>
      </c>
      <c r="J5" s="51">
        <v>1078.36</v>
      </c>
      <c r="K5" s="45">
        <v>489.01</v>
      </c>
      <c r="L5" s="52">
        <v>247.65</v>
      </c>
      <c r="M5" s="45">
        <v>225.97</v>
      </c>
      <c r="N5" s="51">
        <v>367.14</v>
      </c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</row>
    <row r="6" ht="15.75" customHeight="1">
      <c r="A6" s="49" t="s">
        <v>18</v>
      </c>
      <c r="B6" s="50">
        <v>1002.54</v>
      </c>
      <c r="C6" s="50">
        <v>1262.35</v>
      </c>
      <c r="D6" s="50">
        <v>1195.24</v>
      </c>
      <c r="E6" s="50">
        <v>1136.55</v>
      </c>
      <c r="F6" s="50">
        <v>1063.41</v>
      </c>
      <c r="G6" s="45">
        <v>1072.46</v>
      </c>
      <c r="H6" s="51">
        <v>1204.99</v>
      </c>
      <c r="I6" s="51">
        <v>1171.54</v>
      </c>
      <c r="J6" s="51">
        <v>1007.85</v>
      </c>
      <c r="K6" s="45">
        <v>1132.36</v>
      </c>
      <c r="L6" s="52">
        <v>1491.92</v>
      </c>
      <c r="M6" s="45">
        <v>1166.66</v>
      </c>
      <c r="N6" s="51">
        <v>1110.85</v>
      </c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25"/>
  </cols>
  <sheetData>
    <row r="1" ht="15.75" customHeight="1">
      <c r="A1" s="53" t="s">
        <v>4</v>
      </c>
      <c r="B1" s="47">
        <v>45717.0</v>
      </c>
      <c r="C1" s="47">
        <v>45748.0</v>
      </c>
      <c r="D1" s="48">
        <v>45778.0</v>
      </c>
      <c r="E1" s="47">
        <v>45809.0</v>
      </c>
      <c r="F1" s="47">
        <v>45839.0</v>
      </c>
      <c r="G1" s="48">
        <v>45870.0</v>
      </c>
      <c r="H1" s="47">
        <v>45901.0</v>
      </c>
      <c r="I1" s="47">
        <v>45931.0</v>
      </c>
      <c r="J1" s="48">
        <v>45962.0</v>
      </c>
      <c r="K1" s="47">
        <v>45992.0</v>
      </c>
      <c r="L1" s="47">
        <v>46023.0</v>
      </c>
      <c r="M1" s="48">
        <v>46054.0</v>
      </c>
      <c r="N1" s="47">
        <v>46082.0</v>
      </c>
      <c r="O1" s="48"/>
      <c r="P1" s="48"/>
      <c r="Q1" s="48"/>
      <c r="R1" s="48"/>
      <c r="S1" s="48"/>
      <c r="T1" s="48"/>
      <c r="U1" s="48"/>
      <c r="V1" s="48"/>
    </row>
    <row r="2" ht="15.75" customHeight="1">
      <c r="A2" s="54" t="s">
        <v>11</v>
      </c>
      <c r="B2" s="55">
        <v>0.0</v>
      </c>
      <c r="C2" s="50">
        <v>0.0</v>
      </c>
      <c r="D2" s="51">
        <v>0.0</v>
      </c>
      <c r="E2" s="51">
        <v>0.0</v>
      </c>
      <c r="F2" s="51">
        <v>0.0</v>
      </c>
      <c r="G2" s="51">
        <v>0.0</v>
      </c>
      <c r="H2" s="51">
        <v>0.0</v>
      </c>
      <c r="I2" s="51">
        <v>0.0</v>
      </c>
      <c r="J2" s="51">
        <v>0.0</v>
      </c>
      <c r="K2" s="51">
        <v>0.0</v>
      </c>
      <c r="L2" s="51">
        <v>0.0</v>
      </c>
      <c r="M2" s="51">
        <v>0.0</v>
      </c>
      <c r="N2" s="51">
        <v>0.0</v>
      </c>
      <c r="O2" s="51"/>
      <c r="P2" s="51"/>
      <c r="Q2" s="51"/>
      <c r="R2" s="51"/>
      <c r="S2" s="51"/>
      <c r="T2" s="51"/>
      <c r="U2" s="51"/>
      <c r="V2" s="51"/>
    </row>
    <row r="3" ht="15.75" customHeight="1">
      <c r="A3" s="54" t="s">
        <v>13</v>
      </c>
      <c r="B3" s="55">
        <v>33.25</v>
      </c>
      <c r="C3" s="50">
        <v>41.43</v>
      </c>
      <c r="D3" s="50">
        <v>48.24</v>
      </c>
      <c r="E3" s="50">
        <v>51.3</v>
      </c>
      <c r="F3" s="50">
        <v>43.36</v>
      </c>
      <c r="G3" s="51">
        <v>48.33</v>
      </c>
      <c r="H3" s="51">
        <v>44.98</v>
      </c>
      <c r="I3" s="51">
        <v>35.82</v>
      </c>
      <c r="J3" s="51">
        <v>34.73</v>
      </c>
      <c r="K3" s="51">
        <v>31.25</v>
      </c>
      <c r="L3" s="51">
        <v>28.95</v>
      </c>
      <c r="M3" s="51">
        <v>38.84</v>
      </c>
      <c r="N3" s="51">
        <v>18.13</v>
      </c>
      <c r="O3" s="51"/>
      <c r="P3" s="51"/>
      <c r="Q3" s="51"/>
      <c r="R3" s="51"/>
      <c r="S3" s="51"/>
      <c r="T3" s="51"/>
      <c r="U3" s="51"/>
      <c r="V3" s="51"/>
    </row>
    <row r="4" ht="15.75" customHeight="1">
      <c r="A4" s="54" t="s">
        <v>21</v>
      </c>
      <c r="B4" s="55">
        <v>77.75</v>
      </c>
      <c r="C4" s="50">
        <v>66.57</v>
      </c>
      <c r="D4" s="50">
        <v>90.42</v>
      </c>
      <c r="E4" s="50">
        <v>75.1</v>
      </c>
      <c r="F4" s="50">
        <v>63.0</v>
      </c>
      <c r="G4" s="51">
        <v>72.61</v>
      </c>
      <c r="H4" s="51">
        <v>61.03</v>
      </c>
      <c r="I4" s="51">
        <v>64.54</v>
      </c>
      <c r="J4" s="51">
        <v>69.88</v>
      </c>
      <c r="K4" s="51">
        <v>53.4</v>
      </c>
      <c r="L4" s="51">
        <v>39.38</v>
      </c>
      <c r="M4" s="51">
        <v>72.49</v>
      </c>
      <c r="N4" s="51">
        <v>76.07</v>
      </c>
      <c r="O4" s="51"/>
      <c r="P4" s="51"/>
      <c r="Q4" s="51"/>
      <c r="R4" s="51"/>
      <c r="S4" s="51"/>
      <c r="T4" s="51"/>
      <c r="U4" s="51"/>
      <c r="V4" s="51"/>
    </row>
    <row r="5" ht="15.75" customHeight="1">
      <c r="A5" s="54" t="s">
        <v>16</v>
      </c>
      <c r="B5" s="55">
        <v>18.91</v>
      </c>
      <c r="C5" s="50">
        <v>24.36</v>
      </c>
      <c r="D5" s="50">
        <v>46.78</v>
      </c>
      <c r="E5" s="50">
        <v>93.56</v>
      </c>
      <c r="F5" s="50">
        <v>233.89</v>
      </c>
      <c r="G5" s="51">
        <v>270.84</v>
      </c>
      <c r="H5" s="51">
        <v>397.61</v>
      </c>
      <c r="I5" s="51">
        <v>350.84</v>
      </c>
      <c r="J5" s="51">
        <v>350.84</v>
      </c>
      <c r="K5" s="51">
        <v>163.72</v>
      </c>
      <c r="L5" s="51">
        <v>78.62</v>
      </c>
      <c r="M5" s="51">
        <v>69.38</v>
      </c>
      <c r="N5" s="51">
        <v>125.32</v>
      </c>
      <c r="O5" s="51"/>
      <c r="P5" s="51"/>
      <c r="Q5" s="51"/>
      <c r="R5" s="51"/>
      <c r="S5" s="51"/>
      <c r="T5" s="51"/>
      <c r="U5" s="51"/>
      <c r="V5" s="51"/>
    </row>
    <row r="6" ht="15.75" customHeight="1">
      <c r="A6" s="54" t="s">
        <v>18</v>
      </c>
      <c r="B6" s="55">
        <v>588.22</v>
      </c>
      <c r="C6" s="51">
        <v>754.71</v>
      </c>
      <c r="D6" s="50">
        <v>702.18</v>
      </c>
      <c r="E6" s="50">
        <v>725.31</v>
      </c>
      <c r="F6" s="50">
        <v>628.35</v>
      </c>
      <c r="G6" s="51">
        <v>633.42</v>
      </c>
      <c r="H6" s="51">
        <v>707.63</v>
      </c>
      <c r="I6" s="51">
        <v>688.9</v>
      </c>
      <c r="J6" s="51">
        <v>522.2</v>
      </c>
      <c r="K6" s="51">
        <v>575.07</v>
      </c>
      <c r="L6" s="51">
        <v>868.32</v>
      </c>
      <c r="M6" s="51">
        <v>686.17</v>
      </c>
      <c r="N6" s="51">
        <v>654.92</v>
      </c>
      <c r="O6" s="51"/>
      <c r="P6" s="51"/>
      <c r="Q6" s="51"/>
      <c r="R6" s="51"/>
      <c r="S6" s="51"/>
      <c r="T6" s="51"/>
      <c r="U6" s="51"/>
      <c r="V6" s="51"/>
    </row>
    <row r="7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</row>
    <row r="8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</row>
    <row r="9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</row>
    <row r="10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7.88"/>
  </cols>
  <sheetData>
    <row r="1" ht="15.75" customHeight="1">
      <c r="A1" s="46" t="s">
        <v>4</v>
      </c>
      <c r="B1" s="48">
        <v>45717.0</v>
      </c>
      <c r="C1" s="47">
        <v>45748.0</v>
      </c>
      <c r="D1" s="47">
        <v>45778.0</v>
      </c>
      <c r="E1" s="48">
        <v>45809.0</v>
      </c>
      <c r="F1" s="47">
        <v>45839.0</v>
      </c>
      <c r="G1" s="47">
        <v>45870.0</v>
      </c>
      <c r="H1" s="48">
        <v>45901.0</v>
      </c>
      <c r="I1" s="47">
        <v>45931.0</v>
      </c>
      <c r="J1" s="47">
        <v>45962.0</v>
      </c>
      <c r="K1" s="48">
        <v>45992.0</v>
      </c>
      <c r="L1" s="47">
        <v>46023.0</v>
      </c>
      <c r="M1" s="47">
        <v>46054.0</v>
      </c>
      <c r="N1" s="48">
        <v>46082.0</v>
      </c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 ht="15.75" customHeight="1">
      <c r="A2" s="49" t="s">
        <v>11</v>
      </c>
      <c r="B2" s="50">
        <v>690.35</v>
      </c>
      <c r="C2" s="50">
        <v>902.51</v>
      </c>
      <c r="D2" s="50">
        <v>908.14</v>
      </c>
      <c r="E2" s="50">
        <v>946.44</v>
      </c>
      <c r="F2" s="50">
        <v>875.18</v>
      </c>
      <c r="G2" s="54">
        <v>863.5946153846306</v>
      </c>
      <c r="H2" s="50">
        <v>1153.55</v>
      </c>
      <c r="I2" s="50">
        <v>883.09</v>
      </c>
      <c r="J2" s="50">
        <v>1100.12</v>
      </c>
      <c r="K2" s="50">
        <v>1189.88</v>
      </c>
      <c r="L2" s="50">
        <v>396.47</v>
      </c>
      <c r="M2" s="50">
        <v>767.02</v>
      </c>
      <c r="N2" s="50">
        <v>874.1</v>
      </c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ht="15.75" customHeight="1">
      <c r="A3" s="49" t="s">
        <v>13</v>
      </c>
      <c r="B3" s="50">
        <v>248.25</v>
      </c>
      <c r="C3" s="50">
        <v>263.52</v>
      </c>
      <c r="D3" s="50">
        <v>269.7</v>
      </c>
      <c r="E3" s="50">
        <v>295.91</v>
      </c>
      <c r="F3" s="50">
        <v>385.02</v>
      </c>
      <c r="G3" s="54">
        <v>311.9769230769231</v>
      </c>
      <c r="H3" s="50">
        <v>355.26</v>
      </c>
      <c r="I3" s="50">
        <v>293.91</v>
      </c>
      <c r="J3" s="50">
        <v>323.66</v>
      </c>
      <c r="K3" s="50">
        <v>308.43</v>
      </c>
      <c r="L3" s="50">
        <v>258.0</v>
      </c>
      <c r="M3" s="50">
        <v>348.94</v>
      </c>
      <c r="N3" s="50">
        <v>365.53</v>
      </c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</row>
    <row r="4" ht="15.75" customHeight="1">
      <c r="A4" s="49" t="s">
        <v>21</v>
      </c>
      <c r="B4" s="50">
        <v>874.73</v>
      </c>
      <c r="C4" s="50">
        <v>1066.66</v>
      </c>
      <c r="D4" s="50">
        <v>2012.03</v>
      </c>
      <c r="E4" s="50">
        <v>2793.58</v>
      </c>
      <c r="F4" s="50">
        <v>3392.12</v>
      </c>
      <c r="G4" s="50">
        <v>2735.91</v>
      </c>
      <c r="H4" s="50">
        <v>3866.12</v>
      </c>
      <c r="I4" s="50">
        <v>3603.82</v>
      </c>
      <c r="J4" s="50">
        <v>2767.9</v>
      </c>
      <c r="K4" s="50">
        <v>1552.17</v>
      </c>
      <c r="L4" s="50">
        <v>1192.09</v>
      </c>
      <c r="M4" s="50">
        <v>1087.51</v>
      </c>
      <c r="N4" s="50">
        <v>986.58</v>
      </c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</row>
    <row r="5" ht="15.75" customHeight="1">
      <c r="A5" s="49" t="s">
        <v>16</v>
      </c>
      <c r="B5" s="50">
        <v>289.06</v>
      </c>
      <c r="C5" s="50">
        <v>467.45</v>
      </c>
      <c r="D5" s="50">
        <v>732.03</v>
      </c>
      <c r="E5" s="50">
        <v>1274.8</v>
      </c>
      <c r="F5" s="50">
        <v>1266.6</v>
      </c>
      <c r="G5" s="54">
        <v>1798.96660476626</v>
      </c>
      <c r="H5" s="50">
        <v>1499.87</v>
      </c>
      <c r="I5" s="50">
        <v>1475.98</v>
      </c>
      <c r="J5" s="50">
        <v>1121.57</v>
      </c>
      <c r="K5" s="50">
        <v>402.57</v>
      </c>
      <c r="L5" s="50">
        <v>480.72</v>
      </c>
      <c r="M5" s="50">
        <v>484.73</v>
      </c>
      <c r="N5" s="50">
        <v>434.75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</row>
    <row r="6" ht="15.75" customHeight="1">
      <c r="A6" s="49" t="s">
        <v>18</v>
      </c>
      <c r="B6" s="50">
        <v>1130.43</v>
      </c>
      <c r="C6" s="50">
        <v>1132.02</v>
      </c>
      <c r="D6" s="50">
        <v>1155.68</v>
      </c>
      <c r="E6" s="50">
        <v>1483.59</v>
      </c>
      <c r="F6" s="50">
        <v>1178.12</v>
      </c>
      <c r="G6" s="54">
        <v>1214.42</v>
      </c>
      <c r="H6" s="50">
        <v>1202.22</v>
      </c>
      <c r="I6" s="50">
        <v>1277.98</v>
      </c>
      <c r="J6" s="50">
        <v>1233.59</v>
      </c>
      <c r="K6" s="50">
        <v>1218.39</v>
      </c>
      <c r="L6" s="50">
        <v>1253.54</v>
      </c>
      <c r="M6" s="50">
        <v>1209.96</v>
      </c>
      <c r="N6" s="50">
        <v>1163.04</v>
      </c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</row>
    <row r="7" ht="15.75" customHeight="1">
      <c r="A7" s="56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</row>
    <row r="8" ht="15.75" customHeight="1">
      <c r="A8" s="56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</row>
    <row r="9" ht="15.75" customHeight="1">
      <c r="A9" s="56"/>
    </row>
    <row r="10" ht="15.75" customHeight="1">
      <c r="A10" s="56"/>
    </row>
    <row r="11" ht="15.75" customHeight="1">
      <c r="A11" s="56"/>
    </row>
    <row r="12" ht="15.75" customHeight="1">
      <c r="A12" s="56"/>
    </row>
    <row r="13" ht="15.75" customHeight="1">
      <c r="A13" s="56"/>
    </row>
    <row r="14" ht="15.75" customHeight="1">
      <c r="A14" s="56"/>
    </row>
    <row r="15" ht="15.75" customHeight="1">
      <c r="A15" s="56"/>
    </row>
    <row r="16" ht="15.75" customHeight="1">
      <c r="A16" s="56"/>
    </row>
    <row r="17" ht="15.75" customHeight="1">
      <c r="A17" s="56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88"/>
  </cols>
  <sheetData>
    <row r="1" ht="15.75" customHeight="1">
      <c r="A1" s="46" t="s">
        <v>4</v>
      </c>
      <c r="B1" s="47">
        <v>45717.0</v>
      </c>
      <c r="C1" s="48">
        <v>45748.0</v>
      </c>
      <c r="D1" s="48">
        <v>45778.0</v>
      </c>
      <c r="E1" s="48">
        <v>45809.0</v>
      </c>
      <c r="F1" s="48">
        <v>45839.0</v>
      </c>
      <c r="G1" s="48">
        <v>45870.0</v>
      </c>
      <c r="H1" s="48">
        <v>45901.0</v>
      </c>
      <c r="I1" s="48">
        <v>45931.0</v>
      </c>
      <c r="J1" s="48">
        <v>45962.0</v>
      </c>
      <c r="K1" s="48">
        <v>45992.0</v>
      </c>
      <c r="L1" s="48">
        <v>46023.0</v>
      </c>
      <c r="M1" s="48">
        <v>46054.0</v>
      </c>
      <c r="N1" s="48">
        <v>46082.0</v>
      </c>
      <c r="O1" s="48"/>
      <c r="P1" s="48"/>
      <c r="Q1" s="48"/>
      <c r="R1" s="48"/>
    </row>
    <row r="2" ht="15.75" customHeight="1">
      <c r="A2" s="49" t="s">
        <v>11</v>
      </c>
      <c r="B2" s="51">
        <v>989.48</v>
      </c>
      <c r="C2" s="51">
        <v>1691.58</v>
      </c>
      <c r="D2" s="51">
        <v>1758.89</v>
      </c>
      <c r="E2" s="51">
        <v>1567.12</v>
      </c>
      <c r="F2" s="51">
        <v>1351.35</v>
      </c>
      <c r="G2" s="45">
        <v>1620.7922222222226</v>
      </c>
      <c r="H2" s="51">
        <v>1355.76</v>
      </c>
      <c r="I2" s="51">
        <v>1350.11</v>
      </c>
      <c r="J2" s="51">
        <v>1482.38</v>
      </c>
      <c r="K2" s="51">
        <v>1439.17</v>
      </c>
      <c r="L2" s="51">
        <v>1475.13</v>
      </c>
      <c r="M2" s="51">
        <v>1758.46</v>
      </c>
      <c r="N2" s="51">
        <v>1436.43</v>
      </c>
      <c r="O2" s="51"/>
      <c r="P2" s="51"/>
      <c r="Q2" s="51"/>
      <c r="R2" s="51"/>
    </row>
    <row r="3" ht="15.75" customHeight="1">
      <c r="A3" s="49" t="s">
        <v>13</v>
      </c>
      <c r="B3" s="51">
        <v>339.53</v>
      </c>
      <c r="C3" s="51">
        <v>388.83</v>
      </c>
      <c r="D3" s="51">
        <v>336.17</v>
      </c>
      <c r="E3" s="51">
        <v>343.98</v>
      </c>
      <c r="F3" s="51">
        <v>320.1</v>
      </c>
      <c r="G3" s="45">
        <v>400.24277777777775</v>
      </c>
      <c r="H3" s="51">
        <v>307.82</v>
      </c>
      <c r="I3" s="51">
        <v>318.24</v>
      </c>
      <c r="J3" s="51">
        <v>350.83</v>
      </c>
      <c r="K3" s="51">
        <v>384.47</v>
      </c>
      <c r="L3" s="51">
        <v>385.86</v>
      </c>
      <c r="M3" s="51">
        <v>498.13</v>
      </c>
      <c r="N3" s="51">
        <v>420.45</v>
      </c>
      <c r="O3" s="51"/>
      <c r="P3" s="51"/>
      <c r="Q3" s="51"/>
      <c r="R3" s="51"/>
    </row>
    <row r="4" ht="15.75" customHeight="1">
      <c r="A4" s="49" t="s">
        <v>21</v>
      </c>
      <c r="B4" s="51">
        <v>987.63</v>
      </c>
      <c r="C4" s="51">
        <v>1213.55</v>
      </c>
      <c r="D4" s="51">
        <v>1114.71</v>
      </c>
      <c r="E4" s="51">
        <v>1209.04</v>
      </c>
      <c r="F4" s="51">
        <v>1082.32</v>
      </c>
      <c r="G4" s="45">
        <v>1348.15</v>
      </c>
      <c r="H4" s="51">
        <v>1261.85</v>
      </c>
      <c r="I4" s="51">
        <v>1197.5</v>
      </c>
      <c r="J4" s="51">
        <v>1484.52</v>
      </c>
      <c r="K4" s="51">
        <v>1016.41</v>
      </c>
      <c r="L4" s="51">
        <v>1037.59</v>
      </c>
      <c r="M4" s="51">
        <v>1153.91</v>
      </c>
      <c r="N4" s="51">
        <v>1242.85</v>
      </c>
      <c r="O4" s="51"/>
      <c r="P4" s="51"/>
      <c r="Q4" s="51"/>
      <c r="R4" s="51"/>
    </row>
    <row r="5" ht="15.75" customHeight="1">
      <c r="A5" s="49" t="s">
        <v>16</v>
      </c>
      <c r="B5" s="51">
        <v>780.05</v>
      </c>
      <c r="C5" s="51">
        <v>1743.34</v>
      </c>
      <c r="D5" s="51">
        <v>2544.94</v>
      </c>
      <c r="E5" s="51">
        <v>2477.61</v>
      </c>
      <c r="F5" s="51">
        <v>3403.15</v>
      </c>
      <c r="G5" s="45">
        <v>4253.5455341506095</v>
      </c>
      <c r="H5" s="51">
        <v>4194.5</v>
      </c>
      <c r="I5" s="51">
        <v>3466.02</v>
      </c>
      <c r="J5" s="51">
        <v>2282.88</v>
      </c>
      <c r="K5" s="51">
        <v>1415.25</v>
      </c>
      <c r="L5" s="51">
        <v>1022.63</v>
      </c>
      <c r="M5" s="51">
        <v>1434.43</v>
      </c>
      <c r="N5" s="51">
        <v>1492.27</v>
      </c>
      <c r="O5" s="51"/>
      <c r="P5" s="51"/>
      <c r="Q5" s="51"/>
      <c r="R5" s="51"/>
    </row>
    <row r="6" ht="15.75" customHeight="1">
      <c r="A6" s="49" t="s">
        <v>18</v>
      </c>
      <c r="B6" s="51">
        <v>1381.8</v>
      </c>
      <c r="C6" s="51">
        <v>1420.08</v>
      </c>
      <c r="D6" s="51">
        <v>1444.86</v>
      </c>
      <c r="E6" s="51">
        <v>1530.79</v>
      </c>
      <c r="F6" s="51">
        <v>1456.17</v>
      </c>
      <c r="G6" s="45">
        <v>1437.76</v>
      </c>
      <c r="H6" s="51">
        <v>1436.29</v>
      </c>
      <c r="I6" s="51">
        <v>1438.7</v>
      </c>
      <c r="J6" s="51">
        <v>1431.95</v>
      </c>
      <c r="K6" s="51">
        <v>1407.59</v>
      </c>
      <c r="L6" s="51">
        <v>1520.78</v>
      </c>
      <c r="M6" s="51">
        <v>1563.2</v>
      </c>
      <c r="N6" s="51">
        <v>1563.2</v>
      </c>
      <c r="O6" s="51"/>
      <c r="P6" s="51"/>
      <c r="Q6" s="51"/>
      <c r="R6" s="51"/>
    </row>
    <row r="7" ht="15.75" customHeight="1">
      <c r="A7" s="56"/>
    </row>
    <row r="8" ht="15.75" customHeight="1">
      <c r="A8" s="56"/>
    </row>
    <row r="9" ht="15.75" customHeight="1">
      <c r="A9" s="56"/>
    </row>
    <row r="10" ht="15.75" customHeight="1">
      <c r="A10" s="56"/>
    </row>
    <row r="11" ht="15.75" customHeight="1">
      <c r="A11" s="56"/>
    </row>
    <row r="12" ht="15.75" customHeight="1">
      <c r="A12" s="56"/>
    </row>
    <row r="13" ht="15.75" customHeight="1">
      <c r="A13" s="56"/>
    </row>
    <row r="14" ht="15.75" customHeight="1">
      <c r="A14" s="56"/>
    </row>
    <row r="15" ht="15.75" customHeight="1">
      <c r="A15" s="56"/>
    </row>
    <row r="16" ht="15.75" customHeight="1">
      <c r="A16" s="56"/>
    </row>
    <row r="17" ht="15.75" customHeight="1">
      <c r="A17" s="56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88"/>
  </cols>
  <sheetData>
    <row r="1" ht="15.75" customHeight="1">
      <c r="A1" s="46" t="s">
        <v>4</v>
      </c>
      <c r="B1" s="47">
        <v>45717.0</v>
      </c>
      <c r="C1" s="47">
        <v>45748.0</v>
      </c>
      <c r="D1" s="48">
        <v>45778.0</v>
      </c>
      <c r="E1" s="47">
        <v>45809.0</v>
      </c>
      <c r="F1" s="47">
        <v>45839.0</v>
      </c>
      <c r="G1" s="48">
        <v>45870.0</v>
      </c>
      <c r="H1" s="47">
        <v>45901.0</v>
      </c>
      <c r="I1" s="47">
        <v>45931.0</v>
      </c>
      <c r="J1" s="48">
        <v>45962.0</v>
      </c>
      <c r="K1" s="47">
        <v>45992.0</v>
      </c>
      <c r="L1" s="47">
        <v>46023.0</v>
      </c>
      <c r="M1" s="48">
        <v>46054.0</v>
      </c>
      <c r="N1" s="47">
        <v>46082.0</v>
      </c>
      <c r="O1" s="48"/>
      <c r="P1" s="48"/>
      <c r="Q1" s="48"/>
      <c r="R1" s="48"/>
      <c r="S1" s="48"/>
      <c r="T1" s="48"/>
      <c r="U1" s="48"/>
      <c r="V1" s="48"/>
      <c r="W1" s="48"/>
      <c r="X1" s="48"/>
    </row>
    <row r="2" ht="15.75" customHeight="1">
      <c r="A2" s="49" t="s">
        <v>11</v>
      </c>
      <c r="B2" s="51">
        <v>0.0</v>
      </c>
      <c r="C2" s="51">
        <v>0.0</v>
      </c>
      <c r="D2" s="51">
        <v>0.0</v>
      </c>
      <c r="E2" s="51">
        <v>0.0</v>
      </c>
      <c r="F2" s="51">
        <v>0.0</v>
      </c>
      <c r="G2" s="51">
        <v>0.0</v>
      </c>
      <c r="H2" s="51">
        <v>0.0</v>
      </c>
      <c r="I2" s="51">
        <v>0.0</v>
      </c>
      <c r="J2" s="51">
        <v>0.0</v>
      </c>
      <c r="K2" s="51">
        <v>0.0</v>
      </c>
      <c r="L2" s="51">
        <v>0.0</v>
      </c>
      <c r="M2" s="51">
        <v>0.0</v>
      </c>
      <c r="N2" s="51">
        <v>0.0</v>
      </c>
      <c r="O2" s="51"/>
      <c r="P2" s="51"/>
      <c r="Q2" s="51"/>
      <c r="R2" s="51"/>
      <c r="S2" s="51"/>
      <c r="T2" s="51"/>
      <c r="U2" s="51"/>
      <c r="V2" s="51"/>
      <c r="W2" s="51"/>
      <c r="X2" s="51"/>
    </row>
    <row r="3" ht="15.75" customHeight="1">
      <c r="A3" s="49" t="s">
        <v>13</v>
      </c>
      <c r="B3" s="51">
        <v>131.37</v>
      </c>
      <c r="C3" s="51">
        <v>140.96</v>
      </c>
      <c r="D3" s="51">
        <v>168.64</v>
      </c>
      <c r="E3" s="51">
        <v>173.08</v>
      </c>
      <c r="F3" s="51">
        <v>167.8</v>
      </c>
      <c r="G3" s="51">
        <v>164.29</v>
      </c>
      <c r="H3" s="51">
        <v>178.23</v>
      </c>
      <c r="I3" s="51">
        <v>172.19</v>
      </c>
      <c r="J3" s="51">
        <v>188.78</v>
      </c>
      <c r="K3" s="51">
        <v>193.56</v>
      </c>
      <c r="L3" s="51">
        <v>186.39</v>
      </c>
      <c r="M3" s="51">
        <v>168.02</v>
      </c>
      <c r="N3" s="51">
        <v>123.33</v>
      </c>
      <c r="O3" s="51"/>
      <c r="P3" s="51"/>
      <c r="Q3" s="51"/>
      <c r="R3" s="51"/>
      <c r="S3" s="51"/>
      <c r="T3" s="51"/>
      <c r="U3" s="51"/>
      <c r="V3" s="51"/>
      <c r="W3" s="51"/>
      <c r="X3" s="51"/>
    </row>
    <row r="4" ht="15.75" customHeight="1">
      <c r="A4" s="49" t="s">
        <v>21</v>
      </c>
      <c r="B4" s="51">
        <v>160.41</v>
      </c>
      <c r="C4" s="51">
        <v>170.27</v>
      </c>
      <c r="D4" s="51">
        <v>181.01</v>
      </c>
      <c r="E4" s="51">
        <v>194.54</v>
      </c>
      <c r="F4" s="51">
        <v>175.76</v>
      </c>
      <c r="G4" s="51">
        <v>218.92</v>
      </c>
      <c r="H4" s="51">
        <v>204.91</v>
      </c>
      <c r="I4" s="51">
        <v>194.45</v>
      </c>
      <c r="J4" s="51">
        <v>241.06</v>
      </c>
      <c r="K4" s="51">
        <v>180.99</v>
      </c>
      <c r="L4" s="51">
        <v>189.42</v>
      </c>
      <c r="M4" s="51">
        <v>208.32</v>
      </c>
      <c r="N4" s="51">
        <v>201.82</v>
      </c>
      <c r="O4" s="51"/>
      <c r="P4" s="51"/>
      <c r="Q4" s="51"/>
      <c r="R4" s="51"/>
      <c r="S4" s="51"/>
      <c r="T4" s="51"/>
      <c r="U4" s="51"/>
      <c r="V4" s="51"/>
      <c r="W4" s="51"/>
      <c r="X4" s="51"/>
    </row>
    <row r="5" ht="15.75" customHeight="1">
      <c r="A5" s="49" t="s">
        <v>16</v>
      </c>
      <c r="B5" s="51">
        <v>101.92</v>
      </c>
      <c r="C5" s="51">
        <v>387.41</v>
      </c>
      <c r="D5" s="51">
        <v>632.72</v>
      </c>
      <c r="E5" s="51">
        <v>323.01</v>
      </c>
      <c r="F5" s="51">
        <v>482.04</v>
      </c>
      <c r="G5" s="51">
        <v>1015.5</v>
      </c>
      <c r="H5" s="51">
        <v>555.71</v>
      </c>
      <c r="I5" s="51">
        <v>851.41</v>
      </c>
      <c r="J5" s="51">
        <v>532.65</v>
      </c>
      <c r="K5" s="51">
        <v>183.39</v>
      </c>
      <c r="L5" s="51">
        <v>223.13</v>
      </c>
      <c r="M5" s="51">
        <v>277.65</v>
      </c>
      <c r="N5" s="51">
        <v>340.8</v>
      </c>
      <c r="O5" s="51"/>
      <c r="P5" s="51"/>
      <c r="Q5" s="51"/>
      <c r="R5" s="51"/>
      <c r="S5" s="51"/>
      <c r="T5" s="51"/>
      <c r="U5" s="51"/>
      <c r="V5" s="51"/>
      <c r="W5" s="51"/>
      <c r="X5" s="51"/>
    </row>
    <row r="6" ht="15.75" customHeight="1">
      <c r="A6" s="49" t="s">
        <v>18</v>
      </c>
      <c r="B6" s="51">
        <v>841.5</v>
      </c>
      <c r="C6" s="51">
        <v>895.41</v>
      </c>
      <c r="D6" s="51">
        <v>909.28</v>
      </c>
      <c r="E6" s="51">
        <v>893.57</v>
      </c>
      <c r="F6" s="51">
        <v>915.62</v>
      </c>
      <c r="G6" s="51">
        <v>905.3</v>
      </c>
      <c r="H6" s="51">
        <v>904.48</v>
      </c>
      <c r="I6" s="51">
        <v>905.83</v>
      </c>
      <c r="J6" s="51">
        <v>1196.06</v>
      </c>
      <c r="K6" s="51">
        <v>888.44</v>
      </c>
      <c r="L6" s="51">
        <v>951.81</v>
      </c>
      <c r="M6" s="51">
        <v>975.55</v>
      </c>
      <c r="N6" s="51">
        <v>975.55</v>
      </c>
      <c r="O6" s="51"/>
      <c r="P6" s="51"/>
      <c r="Q6" s="51"/>
      <c r="R6" s="51"/>
      <c r="S6" s="51"/>
      <c r="T6" s="51"/>
      <c r="U6" s="51"/>
      <c r="V6" s="51"/>
      <c r="W6" s="51"/>
      <c r="X6" s="51"/>
    </row>
    <row r="7" ht="15.75" customHeight="1">
      <c r="A7" s="56"/>
    </row>
    <row r="8" ht="15.75" customHeight="1">
      <c r="A8" s="56"/>
    </row>
    <row r="9" ht="15.75" customHeight="1">
      <c r="A9" s="56"/>
    </row>
    <row r="10" ht="15.75" customHeight="1">
      <c r="A10" s="56"/>
    </row>
    <row r="11" ht="15.75" customHeight="1">
      <c r="A11" s="56"/>
    </row>
    <row r="12" ht="15.75" customHeight="1">
      <c r="A12" s="56"/>
    </row>
    <row r="13" ht="15.75" customHeight="1">
      <c r="A13" s="56"/>
    </row>
    <row r="14" ht="15.75" customHeight="1">
      <c r="A14" s="56"/>
    </row>
    <row r="15" ht="15.75" customHeight="1">
      <c r="A15" s="56"/>
    </row>
    <row r="16" ht="15.75" customHeight="1">
      <c r="A16" s="56"/>
    </row>
    <row r="17" ht="15.75" customHeight="1">
      <c r="A17" s="56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88"/>
  </cols>
  <sheetData>
    <row r="1" ht="15.75" customHeight="1">
      <c r="A1" s="46" t="s">
        <v>4</v>
      </c>
      <c r="B1" s="47">
        <v>45717.0</v>
      </c>
      <c r="C1" s="47">
        <v>45748.0</v>
      </c>
      <c r="D1" s="47">
        <v>45778.0</v>
      </c>
      <c r="E1" s="47">
        <v>45809.0</v>
      </c>
      <c r="F1" s="47">
        <v>45839.0</v>
      </c>
      <c r="G1" s="47">
        <v>45870.0</v>
      </c>
      <c r="H1" s="47">
        <v>45901.0</v>
      </c>
      <c r="I1" s="47">
        <v>45931.0</v>
      </c>
      <c r="J1" s="47">
        <v>45962.0</v>
      </c>
      <c r="K1" s="47">
        <v>45992.0</v>
      </c>
      <c r="L1" s="47">
        <v>46023.0</v>
      </c>
      <c r="M1" s="47">
        <v>46054.0</v>
      </c>
      <c r="N1" s="47">
        <v>46082.0</v>
      </c>
      <c r="O1" s="47"/>
      <c r="P1" s="47"/>
      <c r="Q1" s="47"/>
      <c r="R1" s="47"/>
      <c r="S1" s="47"/>
      <c r="T1" s="47"/>
    </row>
    <row r="2" ht="15.75" customHeight="1">
      <c r="A2" s="49" t="s">
        <v>11</v>
      </c>
      <c r="B2" s="50">
        <v>610.17</v>
      </c>
      <c r="C2" s="50">
        <v>636.88</v>
      </c>
      <c r="D2" s="51">
        <v>776.09</v>
      </c>
      <c r="E2" s="51">
        <v>392.01</v>
      </c>
      <c r="F2" s="51">
        <v>449.95</v>
      </c>
      <c r="G2" s="45">
        <v>569.4163636363636</v>
      </c>
      <c r="H2" s="51">
        <v>1051.88</v>
      </c>
      <c r="I2" s="51">
        <v>1373.43</v>
      </c>
      <c r="J2" s="51">
        <v>1241.92</v>
      </c>
      <c r="K2" s="51">
        <v>1266.93</v>
      </c>
      <c r="L2" s="51">
        <v>1090.12</v>
      </c>
      <c r="M2" s="51">
        <v>1205.69</v>
      </c>
      <c r="N2" s="51">
        <v>743.11</v>
      </c>
      <c r="O2" s="51"/>
      <c r="P2" s="51"/>
      <c r="Q2" s="51"/>
      <c r="R2" s="51"/>
      <c r="S2" s="51"/>
      <c r="T2" s="51"/>
    </row>
    <row r="3" ht="15.75" customHeight="1">
      <c r="A3" s="49" t="s">
        <v>13</v>
      </c>
      <c r="B3" s="50">
        <v>231.63</v>
      </c>
      <c r="C3" s="50">
        <v>188.28</v>
      </c>
      <c r="D3" s="51">
        <v>228.61</v>
      </c>
      <c r="E3" s="51">
        <v>223.22</v>
      </c>
      <c r="F3" s="51">
        <v>235.01</v>
      </c>
      <c r="G3" s="45">
        <v>230.12545454545455</v>
      </c>
      <c r="H3" s="51">
        <v>297.15</v>
      </c>
      <c r="I3" s="51">
        <v>318.4</v>
      </c>
      <c r="J3" s="51">
        <v>377.33</v>
      </c>
      <c r="K3" s="51">
        <v>359.64</v>
      </c>
      <c r="L3" s="51">
        <v>317.99</v>
      </c>
      <c r="M3" s="51">
        <v>441.74</v>
      </c>
      <c r="N3" s="51">
        <v>264.23</v>
      </c>
      <c r="O3" s="51"/>
      <c r="P3" s="51"/>
      <c r="Q3" s="51"/>
      <c r="R3" s="51"/>
      <c r="S3" s="51"/>
      <c r="T3" s="51"/>
    </row>
    <row r="4" ht="15.75" customHeight="1">
      <c r="A4" s="49" t="s">
        <v>21</v>
      </c>
      <c r="B4" s="50">
        <v>275.33</v>
      </c>
      <c r="C4" s="50">
        <v>397.4</v>
      </c>
      <c r="D4" s="51">
        <v>559.33</v>
      </c>
      <c r="E4" s="51">
        <v>651.99</v>
      </c>
      <c r="F4" s="51">
        <v>596.26</v>
      </c>
      <c r="G4" s="45">
        <v>589.6042857142857</v>
      </c>
      <c r="H4" s="51">
        <v>673.12</v>
      </c>
      <c r="I4" s="51">
        <v>781.6</v>
      </c>
      <c r="J4" s="51">
        <v>819.84</v>
      </c>
      <c r="K4" s="51">
        <v>780.37</v>
      </c>
      <c r="L4" s="51">
        <v>737.84</v>
      </c>
      <c r="M4" s="51">
        <v>636.08</v>
      </c>
      <c r="N4" s="51">
        <v>558.88</v>
      </c>
      <c r="O4" s="51"/>
      <c r="P4" s="51"/>
      <c r="Q4" s="51"/>
      <c r="R4" s="51"/>
      <c r="S4" s="51"/>
      <c r="T4" s="51"/>
    </row>
    <row r="5" ht="15.75" customHeight="1">
      <c r="A5" s="49" t="s">
        <v>16</v>
      </c>
      <c r="B5" s="50">
        <v>346.72</v>
      </c>
      <c r="C5" s="50">
        <v>318.18</v>
      </c>
      <c r="D5" s="51">
        <v>384.53</v>
      </c>
      <c r="E5" s="51">
        <v>465.46</v>
      </c>
      <c r="F5" s="51">
        <v>430.48</v>
      </c>
      <c r="G5" s="45">
        <v>438.6118181818181</v>
      </c>
      <c r="H5" s="51">
        <v>386.85</v>
      </c>
      <c r="I5" s="51">
        <v>386.85</v>
      </c>
      <c r="J5" s="51">
        <v>414.67</v>
      </c>
      <c r="K5" s="51">
        <v>413.84</v>
      </c>
      <c r="L5" s="51">
        <v>459.71</v>
      </c>
      <c r="M5" s="51">
        <v>546.22</v>
      </c>
      <c r="N5" s="51">
        <v>382.25</v>
      </c>
      <c r="O5" s="51"/>
      <c r="P5" s="51"/>
      <c r="Q5" s="51"/>
      <c r="R5" s="51"/>
      <c r="S5" s="51"/>
      <c r="T5" s="51"/>
    </row>
    <row r="6" ht="15.75" customHeight="1">
      <c r="A6" s="49" t="s">
        <v>18</v>
      </c>
      <c r="B6" s="50">
        <v>1383.28</v>
      </c>
      <c r="C6" s="50">
        <v>1443.36</v>
      </c>
      <c r="D6" s="51">
        <v>1516.53</v>
      </c>
      <c r="E6" s="51">
        <v>1460.19</v>
      </c>
      <c r="F6" s="51">
        <v>1525.3</v>
      </c>
      <c r="G6" s="45">
        <v>1570.0942857142857</v>
      </c>
      <c r="H6" s="51">
        <v>1572.45</v>
      </c>
      <c r="I6" s="51">
        <v>1629.38</v>
      </c>
      <c r="J6" s="51">
        <v>1848.36</v>
      </c>
      <c r="K6" s="51">
        <v>1801.5</v>
      </c>
      <c r="L6" s="51">
        <v>1733.95</v>
      </c>
      <c r="M6" s="51">
        <v>1575.54</v>
      </c>
      <c r="N6" s="51">
        <v>1516.01</v>
      </c>
      <c r="O6" s="51"/>
      <c r="P6" s="51"/>
      <c r="Q6" s="51"/>
      <c r="R6" s="51"/>
      <c r="S6" s="51"/>
      <c r="T6" s="51"/>
    </row>
    <row r="7" ht="15.75" customHeight="1">
      <c r="A7" s="56"/>
      <c r="B7" s="54"/>
      <c r="C7" s="54"/>
    </row>
    <row r="8" ht="15.75" customHeight="1">
      <c r="A8" s="56"/>
      <c r="B8" s="54"/>
      <c r="C8" s="54"/>
    </row>
    <row r="9" ht="15.75" customHeight="1">
      <c r="A9" s="56"/>
      <c r="B9" s="54"/>
      <c r="C9" s="54"/>
    </row>
    <row r="10" ht="15.75" customHeight="1">
      <c r="A10" s="56"/>
      <c r="B10" s="54"/>
      <c r="C10" s="54"/>
    </row>
    <row r="11" ht="15.75" customHeight="1">
      <c r="A11" s="56"/>
      <c r="B11" s="54"/>
      <c r="C11" s="54"/>
    </row>
    <row r="12" ht="15.75" customHeight="1">
      <c r="A12" s="56"/>
    </row>
    <row r="13" ht="15.75" customHeight="1">
      <c r="A13" s="56"/>
    </row>
    <row r="14" ht="15.75" customHeight="1">
      <c r="A14" s="56"/>
    </row>
    <row r="15" ht="15.75" customHeight="1">
      <c r="A15" s="56"/>
    </row>
    <row r="16" ht="15.75" customHeight="1">
      <c r="A16" s="56"/>
    </row>
    <row r="17" ht="15.75" customHeight="1">
      <c r="A17" s="56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25"/>
  </cols>
  <sheetData>
    <row r="1" ht="15.75" customHeight="1">
      <c r="A1" s="46" t="s">
        <v>4</v>
      </c>
      <c r="B1" s="48">
        <v>45962.0</v>
      </c>
      <c r="C1" s="48">
        <v>45992.0</v>
      </c>
      <c r="D1" s="48">
        <v>46023.0</v>
      </c>
      <c r="E1" s="48">
        <v>46054.0</v>
      </c>
      <c r="F1" s="48">
        <v>46082.0</v>
      </c>
      <c r="G1" s="48"/>
      <c r="H1" s="48"/>
      <c r="I1" s="48"/>
    </row>
    <row r="2" ht="15.75" customHeight="1">
      <c r="A2" s="49" t="s">
        <v>11</v>
      </c>
      <c r="B2" s="51">
        <v>300.1</v>
      </c>
      <c r="C2" s="51">
        <v>284.39</v>
      </c>
      <c r="D2" s="51">
        <v>400.46</v>
      </c>
      <c r="E2" s="51">
        <v>519.13</v>
      </c>
      <c r="F2" s="51">
        <v>510.59</v>
      </c>
      <c r="G2" s="51"/>
      <c r="H2" s="51"/>
      <c r="I2" s="51"/>
    </row>
    <row r="3" ht="15.75" customHeight="1">
      <c r="A3" s="49" t="s">
        <v>13</v>
      </c>
      <c r="B3" s="51">
        <v>142.71</v>
      </c>
      <c r="C3" s="51">
        <v>111.95</v>
      </c>
      <c r="D3" s="51">
        <v>170.04</v>
      </c>
      <c r="E3" s="51">
        <v>217.35</v>
      </c>
      <c r="F3" s="51">
        <v>212.02</v>
      </c>
      <c r="G3" s="51"/>
      <c r="H3" s="51"/>
      <c r="I3" s="51"/>
    </row>
    <row r="4" ht="15.75" customHeight="1">
      <c r="A4" s="49" t="s">
        <v>21</v>
      </c>
      <c r="B4" s="51">
        <v>515.67</v>
      </c>
      <c r="C4" s="51">
        <v>485.95</v>
      </c>
      <c r="D4" s="51">
        <v>438.85</v>
      </c>
      <c r="E4" s="51">
        <v>346.77</v>
      </c>
      <c r="F4" s="51">
        <v>556.79</v>
      </c>
      <c r="G4" s="51"/>
      <c r="H4" s="51"/>
      <c r="I4" s="51"/>
    </row>
    <row r="5" ht="15.75" customHeight="1">
      <c r="A5" s="49" t="s">
        <v>16</v>
      </c>
      <c r="B5" s="51">
        <v>472.28</v>
      </c>
      <c r="C5" s="51">
        <v>352.48</v>
      </c>
      <c r="D5" s="51">
        <v>311.27</v>
      </c>
      <c r="E5" s="51">
        <v>217.18</v>
      </c>
      <c r="F5" s="51">
        <v>283.2</v>
      </c>
      <c r="G5" s="51"/>
      <c r="H5" s="51"/>
      <c r="I5" s="51"/>
    </row>
    <row r="6" ht="15.75" customHeight="1">
      <c r="A6" s="49" t="s">
        <v>18</v>
      </c>
      <c r="B6" s="51">
        <v>1346.4</v>
      </c>
      <c r="C6" s="51">
        <v>1230.11</v>
      </c>
      <c r="D6" s="51">
        <v>1359.28</v>
      </c>
      <c r="E6" s="51">
        <v>1396.35</v>
      </c>
      <c r="F6" s="51">
        <v>1514.97</v>
      </c>
      <c r="G6" s="51"/>
      <c r="H6" s="51"/>
      <c r="I6" s="51"/>
    </row>
    <row r="7" ht="15.75" customHeight="1">
      <c r="A7" s="56"/>
    </row>
    <row r="8" ht="15.75" customHeight="1">
      <c r="A8" s="56"/>
    </row>
    <row r="9" ht="15.75" customHeight="1">
      <c r="A9" s="56"/>
    </row>
    <row r="10" ht="15.75" customHeight="1">
      <c r="A10" s="56"/>
    </row>
    <row r="11" ht="15.75" customHeight="1">
      <c r="A11" s="56"/>
    </row>
    <row r="12" ht="15.75" customHeight="1">
      <c r="A12" s="56"/>
    </row>
    <row r="13" ht="15.75" customHeight="1">
      <c r="A13" s="56"/>
    </row>
    <row r="14" ht="15.75" customHeight="1">
      <c r="A14" s="56"/>
    </row>
    <row r="15" ht="15.75" customHeight="1">
      <c r="A15" s="56"/>
    </row>
    <row r="16" ht="15.75" customHeight="1">
      <c r="A16" s="56"/>
    </row>
    <row r="17" ht="15.75" customHeight="1">
      <c r="A17" s="56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88"/>
  </cols>
  <sheetData>
    <row r="1" ht="15.75" customHeight="1">
      <c r="A1" s="46" t="s">
        <v>4</v>
      </c>
      <c r="B1" s="47">
        <v>45717.0</v>
      </c>
      <c r="C1" s="47">
        <v>45748.0</v>
      </c>
      <c r="D1" s="48">
        <v>45778.0</v>
      </c>
      <c r="E1" s="47">
        <v>45809.0</v>
      </c>
      <c r="F1" s="47">
        <v>45839.0</v>
      </c>
      <c r="G1" s="48">
        <v>45870.0</v>
      </c>
      <c r="H1" s="47">
        <v>45901.0</v>
      </c>
      <c r="I1" s="47">
        <v>45931.0</v>
      </c>
      <c r="J1" s="48">
        <v>45962.0</v>
      </c>
      <c r="K1" s="48">
        <v>45992.0</v>
      </c>
      <c r="L1" s="47">
        <v>46023.0</v>
      </c>
      <c r="M1" s="47">
        <v>46054.0</v>
      </c>
      <c r="N1" s="48">
        <v>46082.0</v>
      </c>
      <c r="O1" s="47"/>
      <c r="P1" s="47"/>
      <c r="Q1" s="47"/>
      <c r="R1" s="47"/>
      <c r="S1" s="47"/>
      <c r="T1" s="47"/>
      <c r="U1" s="47"/>
    </row>
    <row r="2" ht="15.75" customHeight="1">
      <c r="A2" s="49" t="s">
        <v>11</v>
      </c>
      <c r="B2" s="51">
        <v>1080.84</v>
      </c>
      <c r="C2" s="51">
        <v>803.17</v>
      </c>
      <c r="D2" s="51">
        <v>801.01</v>
      </c>
      <c r="E2" s="51">
        <v>874.32</v>
      </c>
      <c r="F2" s="51">
        <v>848.03</v>
      </c>
      <c r="G2" s="51">
        <v>926.92</v>
      </c>
      <c r="H2" s="51">
        <v>813.06</v>
      </c>
      <c r="I2" s="51">
        <v>1086.24</v>
      </c>
      <c r="J2" s="51">
        <v>998.36</v>
      </c>
      <c r="K2" s="51">
        <v>1298.64</v>
      </c>
      <c r="L2" s="51">
        <v>1348.12</v>
      </c>
      <c r="M2" s="51">
        <v>1216.48</v>
      </c>
      <c r="N2" s="51">
        <v>1237.02</v>
      </c>
      <c r="O2" s="51"/>
      <c r="P2" s="51"/>
      <c r="Q2" s="51"/>
      <c r="R2" s="51"/>
      <c r="S2" s="51"/>
      <c r="T2" s="51"/>
      <c r="U2" s="51"/>
    </row>
    <row r="3" ht="15.75" customHeight="1">
      <c r="A3" s="49" t="s">
        <v>13</v>
      </c>
      <c r="B3" s="51">
        <v>229.63</v>
      </c>
      <c r="C3" s="51">
        <v>270.69</v>
      </c>
      <c r="D3" s="51">
        <v>241.56</v>
      </c>
      <c r="E3" s="51">
        <v>250.98</v>
      </c>
      <c r="F3" s="51">
        <v>225.54</v>
      </c>
      <c r="G3" s="51">
        <v>268.78</v>
      </c>
      <c r="H3" s="51">
        <v>264.21</v>
      </c>
      <c r="I3" s="51">
        <v>426.01</v>
      </c>
      <c r="J3" s="51">
        <v>312.18</v>
      </c>
      <c r="K3" s="51">
        <v>361.99</v>
      </c>
      <c r="L3" s="51">
        <v>377.12</v>
      </c>
      <c r="M3" s="51">
        <v>334.25</v>
      </c>
      <c r="N3" s="51">
        <v>357.05</v>
      </c>
      <c r="O3" s="51"/>
      <c r="P3" s="51"/>
      <c r="Q3" s="51"/>
      <c r="R3" s="51"/>
      <c r="S3" s="51"/>
      <c r="T3" s="51"/>
      <c r="U3" s="51"/>
    </row>
    <row r="4" ht="15.75" customHeight="1">
      <c r="A4" s="49" t="s">
        <v>21</v>
      </c>
      <c r="B4" s="51">
        <v>997.91</v>
      </c>
      <c r="C4" s="51">
        <v>1437.27</v>
      </c>
      <c r="D4" s="51">
        <v>1631.24</v>
      </c>
      <c r="E4" s="51">
        <v>2178.58</v>
      </c>
      <c r="F4" s="51">
        <v>2723.46</v>
      </c>
      <c r="G4" s="51">
        <v>2887.78</v>
      </c>
      <c r="H4" s="51">
        <v>2597.4</v>
      </c>
      <c r="I4" s="51">
        <v>2214.03</v>
      </c>
      <c r="J4" s="51">
        <v>1767.98</v>
      </c>
      <c r="K4" s="51">
        <v>1339.98</v>
      </c>
      <c r="L4" s="51">
        <v>1094.06</v>
      </c>
      <c r="M4" s="51">
        <v>1162.71</v>
      </c>
      <c r="N4" s="51">
        <v>1313.79</v>
      </c>
      <c r="O4" s="51"/>
      <c r="P4" s="51"/>
      <c r="Q4" s="51"/>
      <c r="R4" s="51"/>
      <c r="S4" s="51"/>
      <c r="T4" s="51"/>
      <c r="U4" s="51"/>
    </row>
    <row r="5" ht="15.75" customHeight="1">
      <c r="A5" s="49" t="s">
        <v>16</v>
      </c>
      <c r="B5" s="51">
        <v>303.9</v>
      </c>
      <c r="C5" s="51">
        <v>462.5</v>
      </c>
      <c r="D5" s="51">
        <v>463.7</v>
      </c>
      <c r="E5" s="51">
        <v>658.58</v>
      </c>
      <c r="F5" s="51">
        <v>784.45</v>
      </c>
      <c r="G5" s="51">
        <v>882.11</v>
      </c>
      <c r="H5" s="51">
        <v>789.9</v>
      </c>
      <c r="I5" s="51">
        <v>669.71</v>
      </c>
      <c r="J5" s="51">
        <v>534.28</v>
      </c>
      <c r="K5" s="51">
        <v>479.01</v>
      </c>
      <c r="L5" s="51">
        <v>345.43</v>
      </c>
      <c r="M5" s="51">
        <v>370.35</v>
      </c>
      <c r="N5" s="51">
        <v>404.7</v>
      </c>
      <c r="O5" s="51"/>
      <c r="P5" s="51"/>
      <c r="Q5" s="51"/>
      <c r="R5" s="51"/>
      <c r="S5" s="51"/>
      <c r="T5" s="51"/>
      <c r="U5" s="51"/>
    </row>
    <row r="6" ht="15.75" customHeight="1">
      <c r="A6" s="49" t="s">
        <v>18</v>
      </c>
      <c r="B6" s="51">
        <v>1673.45</v>
      </c>
      <c r="C6" s="51">
        <v>1432.94</v>
      </c>
      <c r="D6" s="51">
        <v>1430.31</v>
      </c>
      <c r="E6" s="51">
        <v>1329.41</v>
      </c>
      <c r="F6" s="51">
        <v>1370.73</v>
      </c>
      <c r="G6" s="51">
        <v>1493.89</v>
      </c>
      <c r="H6" s="51">
        <v>1519.42</v>
      </c>
      <c r="I6" s="51">
        <v>1502.81</v>
      </c>
      <c r="J6" s="51">
        <v>1665.86</v>
      </c>
      <c r="K6" s="51">
        <v>1272.2</v>
      </c>
      <c r="L6" s="51">
        <v>1554.95</v>
      </c>
      <c r="M6" s="51">
        <v>1481.01</v>
      </c>
      <c r="N6" s="51">
        <v>1371.39</v>
      </c>
      <c r="O6" s="51"/>
      <c r="P6" s="51"/>
      <c r="Q6" s="51"/>
      <c r="R6" s="51"/>
      <c r="S6" s="51"/>
      <c r="T6" s="51"/>
      <c r="U6" s="51"/>
    </row>
    <row r="7" ht="15.75" customHeight="1">
      <c r="A7" s="56"/>
    </row>
    <row r="8" ht="15.75" customHeight="1">
      <c r="A8" s="56"/>
    </row>
    <row r="9" ht="15.75" customHeight="1">
      <c r="A9" s="56"/>
    </row>
    <row r="10" ht="15.75" customHeight="1">
      <c r="A10" s="56"/>
    </row>
    <row r="11" ht="15.75" customHeight="1">
      <c r="A11" s="56"/>
    </row>
    <row r="12" ht="15.75" customHeight="1">
      <c r="A12" s="56"/>
    </row>
    <row r="13" ht="15.75" customHeight="1">
      <c r="A13" s="56"/>
    </row>
    <row r="14" ht="15.75" customHeight="1">
      <c r="A14" s="56"/>
    </row>
    <row r="15" ht="15.75" customHeight="1">
      <c r="A15" s="56"/>
    </row>
    <row r="16" ht="15.75" customHeight="1">
      <c r="A16" s="56"/>
    </row>
    <row r="17" ht="15.75" customHeight="1">
      <c r="A17" s="56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25"/>
  </cols>
  <sheetData>
    <row r="1" ht="15.75" customHeight="1">
      <c r="A1" s="46" t="s">
        <v>4</v>
      </c>
      <c r="B1" s="48">
        <v>45962.0</v>
      </c>
      <c r="C1" s="48">
        <v>45992.0</v>
      </c>
      <c r="D1" s="48">
        <v>46023.0</v>
      </c>
      <c r="E1" s="48">
        <v>46054.0</v>
      </c>
      <c r="F1" s="48">
        <v>46082.0</v>
      </c>
      <c r="G1" s="48"/>
      <c r="H1" s="48"/>
      <c r="I1" s="48"/>
    </row>
    <row r="2" ht="15.75" customHeight="1">
      <c r="A2" s="49" t="s">
        <v>11</v>
      </c>
      <c r="B2" s="51">
        <v>0.0</v>
      </c>
      <c r="C2" s="51">
        <v>0.0</v>
      </c>
      <c r="D2" s="51">
        <v>0.0</v>
      </c>
      <c r="E2" s="51">
        <v>0.0</v>
      </c>
      <c r="F2" s="51">
        <v>0.0</v>
      </c>
      <c r="G2" s="51"/>
      <c r="H2" s="51"/>
      <c r="I2" s="51"/>
    </row>
    <row r="3" ht="15.75" customHeight="1">
      <c r="A3" s="49" t="s">
        <v>13</v>
      </c>
      <c r="B3" s="51">
        <v>142.42</v>
      </c>
      <c r="C3" s="51">
        <v>123.86</v>
      </c>
      <c r="D3" s="51">
        <v>367.14</v>
      </c>
      <c r="E3" s="51">
        <v>131.15</v>
      </c>
      <c r="F3" s="51">
        <v>125.46</v>
      </c>
      <c r="G3" s="51"/>
      <c r="H3" s="51"/>
      <c r="I3" s="51"/>
    </row>
    <row r="4" ht="15.75" customHeight="1">
      <c r="A4" s="49" t="s">
        <v>21</v>
      </c>
      <c r="B4" s="51">
        <v>107.84</v>
      </c>
      <c r="C4" s="51">
        <v>101.63</v>
      </c>
      <c r="D4" s="51">
        <v>90.47</v>
      </c>
      <c r="E4" s="51">
        <v>72.52</v>
      </c>
      <c r="F4" s="51">
        <v>116.44</v>
      </c>
      <c r="G4" s="51"/>
      <c r="H4" s="51"/>
      <c r="I4" s="51"/>
    </row>
    <row r="5" ht="15.75" customHeight="1">
      <c r="A5" s="49" t="s">
        <v>16</v>
      </c>
      <c r="B5" s="51">
        <v>51.35</v>
      </c>
      <c r="C5" s="51">
        <v>48.39</v>
      </c>
      <c r="D5" s="51">
        <v>43.08</v>
      </c>
      <c r="E5" s="51">
        <v>34.53</v>
      </c>
      <c r="F5" s="51">
        <v>55.44</v>
      </c>
      <c r="G5" s="51"/>
      <c r="H5" s="51"/>
      <c r="I5" s="51"/>
    </row>
    <row r="6" ht="15.75" customHeight="1">
      <c r="A6" s="49" t="s">
        <v>18</v>
      </c>
      <c r="B6" s="51">
        <v>1211.22</v>
      </c>
      <c r="C6" s="51">
        <v>954.26</v>
      </c>
      <c r="D6" s="51">
        <v>894.97</v>
      </c>
      <c r="E6" s="51">
        <v>1014.99</v>
      </c>
      <c r="F6" s="51">
        <v>1003.44</v>
      </c>
      <c r="G6" s="51"/>
      <c r="H6" s="51"/>
      <c r="I6" s="51"/>
    </row>
    <row r="7" ht="15.75" customHeight="1">
      <c r="A7" s="56"/>
    </row>
    <row r="8" ht="15.75" customHeight="1">
      <c r="A8" s="56"/>
    </row>
    <row r="9" ht="15.75" customHeight="1">
      <c r="A9" s="56"/>
    </row>
    <row r="10" ht="15.75" customHeight="1">
      <c r="A10" s="56"/>
    </row>
    <row r="11" ht="15.75" customHeight="1">
      <c r="A11" s="56"/>
    </row>
    <row r="12" ht="15.75" customHeight="1">
      <c r="A12" s="56"/>
    </row>
    <row r="13" ht="15.75" customHeight="1">
      <c r="A13" s="56"/>
    </row>
    <row r="14" ht="15.75" customHeight="1">
      <c r="A14" s="56"/>
    </row>
    <row r="15" ht="15.75" customHeight="1">
      <c r="A15" s="56"/>
    </row>
    <row r="16" ht="15.75" customHeight="1">
      <c r="A16" s="56"/>
    </row>
    <row r="17" ht="15.75" customHeight="1">
      <c r="A17" s="56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88"/>
  </cols>
  <sheetData>
    <row r="1" ht="15.75" customHeight="1">
      <c r="A1" s="46" t="s">
        <v>4</v>
      </c>
      <c r="B1" s="48">
        <v>45717.0</v>
      </c>
      <c r="C1" s="47">
        <v>45748.0</v>
      </c>
      <c r="D1" s="47">
        <v>45778.0</v>
      </c>
      <c r="E1" s="47">
        <v>45809.0</v>
      </c>
      <c r="F1" s="47">
        <v>45839.0</v>
      </c>
      <c r="G1" s="47">
        <v>45870.0</v>
      </c>
      <c r="H1" s="47">
        <v>45901.0</v>
      </c>
      <c r="I1" s="47">
        <v>45931.0</v>
      </c>
      <c r="J1" s="47">
        <v>45962.0</v>
      </c>
      <c r="K1" s="47">
        <v>45992.0</v>
      </c>
      <c r="L1" s="47">
        <v>46023.0</v>
      </c>
      <c r="M1" s="47">
        <v>46054.0</v>
      </c>
      <c r="N1" s="47">
        <v>46082.0</v>
      </c>
      <c r="O1" s="47"/>
      <c r="P1" s="47"/>
      <c r="Q1" s="47"/>
      <c r="R1" s="47"/>
      <c r="S1" s="47"/>
      <c r="T1" s="47"/>
      <c r="U1" s="47"/>
      <c r="V1" s="47"/>
    </row>
    <row r="2" ht="15.75" customHeight="1">
      <c r="A2" s="49" t="s">
        <v>11</v>
      </c>
      <c r="B2" s="51">
        <v>0.0</v>
      </c>
      <c r="C2" s="51">
        <v>0.0</v>
      </c>
      <c r="D2" s="51">
        <v>0.0</v>
      </c>
      <c r="E2" s="51">
        <v>0.0</v>
      </c>
      <c r="F2" s="51">
        <v>0.0</v>
      </c>
      <c r="G2" s="45">
        <v>0.0</v>
      </c>
      <c r="H2" s="51">
        <v>0.0</v>
      </c>
      <c r="I2" s="51">
        <v>0.0</v>
      </c>
      <c r="J2" s="51">
        <v>0.0</v>
      </c>
      <c r="K2" s="51">
        <v>0.0</v>
      </c>
      <c r="L2" s="51">
        <v>0.0</v>
      </c>
      <c r="M2" s="51">
        <v>0.0</v>
      </c>
      <c r="N2" s="51">
        <v>0.0</v>
      </c>
      <c r="O2" s="51"/>
      <c r="P2" s="51"/>
      <c r="Q2" s="51"/>
      <c r="R2" s="51"/>
      <c r="S2" s="51"/>
      <c r="T2" s="51"/>
      <c r="U2" s="51"/>
      <c r="V2" s="51"/>
    </row>
    <row r="3" ht="15.75" customHeight="1">
      <c r="A3" s="49" t="s">
        <v>13</v>
      </c>
      <c r="B3" s="51">
        <v>94.46</v>
      </c>
      <c r="C3" s="51">
        <v>142.99</v>
      </c>
      <c r="D3" s="51">
        <v>143.19</v>
      </c>
      <c r="E3" s="51">
        <v>137.97</v>
      </c>
      <c r="F3" s="51">
        <v>139.51</v>
      </c>
      <c r="G3" s="45">
        <v>136.7425</v>
      </c>
      <c r="H3" s="51">
        <v>133.36</v>
      </c>
      <c r="I3" s="51">
        <v>498.54</v>
      </c>
      <c r="J3" s="51">
        <v>123.27</v>
      </c>
      <c r="K3" s="51">
        <v>130.59</v>
      </c>
      <c r="L3" s="51">
        <v>126.14</v>
      </c>
      <c r="M3" s="51">
        <v>116.17</v>
      </c>
      <c r="N3" s="51">
        <v>116.18</v>
      </c>
      <c r="O3" s="51"/>
      <c r="P3" s="51"/>
      <c r="Q3" s="51"/>
      <c r="R3" s="51"/>
      <c r="S3" s="51"/>
      <c r="T3" s="51"/>
      <c r="U3" s="51"/>
      <c r="V3" s="51"/>
    </row>
    <row r="4" ht="15.75" customHeight="1">
      <c r="A4" s="49" t="s">
        <v>21</v>
      </c>
      <c r="B4" s="51">
        <v>224.91</v>
      </c>
      <c r="C4" s="51">
        <v>335.55</v>
      </c>
      <c r="D4" s="51">
        <v>358.3</v>
      </c>
      <c r="E4" s="51">
        <v>500.6</v>
      </c>
      <c r="F4" s="51">
        <v>546.21</v>
      </c>
      <c r="G4" s="45">
        <v>650.8599999999999</v>
      </c>
      <c r="H4" s="51">
        <v>585.41</v>
      </c>
      <c r="I4" s="51">
        <v>499.0</v>
      </c>
      <c r="J4" s="51">
        <v>398.47</v>
      </c>
      <c r="K4" s="51">
        <v>296.16</v>
      </c>
      <c r="L4" s="51">
        <v>234.18</v>
      </c>
      <c r="M4" s="51">
        <v>262.05</v>
      </c>
      <c r="N4" s="51">
        <v>296.1</v>
      </c>
      <c r="O4" s="51"/>
      <c r="P4" s="51"/>
      <c r="Q4" s="51"/>
      <c r="R4" s="51"/>
      <c r="S4" s="51"/>
      <c r="T4" s="51"/>
      <c r="U4" s="51"/>
      <c r="V4" s="51"/>
    </row>
    <row r="5" ht="15.75" customHeight="1">
      <c r="A5" s="49" t="s">
        <v>16</v>
      </c>
      <c r="B5" s="51">
        <v>97.58</v>
      </c>
      <c r="C5" s="51">
        <v>139.07</v>
      </c>
      <c r="D5" s="51">
        <v>155.44</v>
      </c>
      <c r="E5" s="51">
        <v>217.18</v>
      </c>
      <c r="F5" s="51">
        <v>236.9</v>
      </c>
      <c r="G5" s="45">
        <v>151.29</v>
      </c>
      <c r="H5" s="51">
        <v>253.97</v>
      </c>
      <c r="I5" s="51">
        <v>116.0</v>
      </c>
      <c r="J5" s="51">
        <v>92.63</v>
      </c>
      <c r="K5" s="51">
        <v>160.69</v>
      </c>
      <c r="L5" s="51">
        <v>101.6</v>
      </c>
      <c r="M5" s="51">
        <v>113.69</v>
      </c>
      <c r="N5" s="51">
        <v>73.09</v>
      </c>
      <c r="O5" s="51"/>
      <c r="P5" s="51"/>
      <c r="Q5" s="51"/>
      <c r="R5" s="51"/>
      <c r="S5" s="51"/>
      <c r="T5" s="51"/>
      <c r="U5" s="51"/>
      <c r="V5" s="51"/>
    </row>
    <row r="6" ht="15.75" customHeight="1">
      <c r="A6" s="49" t="s">
        <v>18</v>
      </c>
      <c r="B6" s="51">
        <v>855.85</v>
      </c>
      <c r="C6" s="51">
        <v>920.3</v>
      </c>
      <c r="D6" s="51">
        <v>864.86</v>
      </c>
      <c r="E6" s="51">
        <v>721.72</v>
      </c>
      <c r="F6" s="51">
        <v>1053.34</v>
      </c>
      <c r="G6" s="45">
        <v>908.89</v>
      </c>
      <c r="H6" s="51">
        <v>922.42</v>
      </c>
      <c r="I6" s="51">
        <v>913.62</v>
      </c>
      <c r="J6" s="51">
        <v>996.09</v>
      </c>
      <c r="K6" s="51">
        <v>858.18</v>
      </c>
      <c r="L6" s="51">
        <v>941.26</v>
      </c>
      <c r="M6" s="51">
        <v>902.59</v>
      </c>
      <c r="N6" s="51">
        <v>844.96</v>
      </c>
      <c r="O6" s="51"/>
      <c r="P6" s="51"/>
      <c r="Q6" s="51"/>
      <c r="R6" s="51"/>
      <c r="S6" s="51"/>
      <c r="T6" s="51"/>
      <c r="U6" s="51"/>
      <c r="V6" s="51"/>
    </row>
    <row r="7" ht="15.75" customHeight="1">
      <c r="A7" s="56"/>
    </row>
    <row r="8" ht="15.75" customHeight="1">
      <c r="A8" s="56"/>
    </row>
    <row r="9" ht="15.75" customHeight="1">
      <c r="A9" s="56"/>
    </row>
    <row r="10" ht="15.75" customHeight="1">
      <c r="A10" s="56"/>
    </row>
    <row r="11" ht="15.75" customHeight="1">
      <c r="A11" s="56"/>
    </row>
    <row r="12" ht="15.75" customHeight="1">
      <c r="A12" s="56"/>
    </row>
    <row r="13" ht="15.75" customHeight="1">
      <c r="A13" s="56"/>
    </row>
    <row r="14" ht="15.75" customHeight="1">
      <c r="A14" s="56"/>
    </row>
    <row r="15" ht="15.75" customHeight="1">
      <c r="A15" s="56"/>
    </row>
    <row r="16" ht="15.75" customHeight="1">
      <c r="A16" s="56"/>
    </row>
    <row r="17" ht="15.75" customHeight="1">
      <c r="A17" s="56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25"/>
  </cols>
  <sheetData>
    <row r="1">
      <c r="A1" s="46" t="s">
        <v>4</v>
      </c>
      <c r="B1" s="57">
        <v>45717.0</v>
      </c>
      <c r="C1" s="57">
        <v>45748.0</v>
      </c>
      <c r="D1" s="57">
        <v>45778.0</v>
      </c>
      <c r="E1" s="57">
        <v>45809.0</v>
      </c>
      <c r="F1" s="57">
        <v>45839.0</v>
      </c>
      <c r="G1" s="57">
        <v>45870.0</v>
      </c>
      <c r="H1" s="57">
        <v>45901.0</v>
      </c>
      <c r="I1" s="57">
        <v>45931.0</v>
      </c>
      <c r="J1" s="57">
        <v>45962.0</v>
      </c>
      <c r="K1" s="57">
        <v>45992.0</v>
      </c>
      <c r="L1" s="57">
        <v>46023.0</v>
      </c>
      <c r="M1" s="57">
        <v>46054.0</v>
      </c>
      <c r="N1" s="57">
        <v>46082.0</v>
      </c>
      <c r="O1" s="58"/>
      <c r="P1" s="58"/>
      <c r="Q1" s="58"/>
      <c r="R1" s="58"/>
      <c r="S1" s="58"/>
      <c r="T1" s="58"/>
      <c r="U1" s="58"/>
      <c r="V1" s="58"/>
    </row>
    <row r="2">
      <c r="A2" s="49" t="s">
        <v>11</v>
      </c>
      <c r="B2" s="51">
        <v>1098.28</v>
      </c>
      <c r="C2" s="51">
        <v>1556.73</v>
      </c>
      <c r="D2" s="51">
        <v>1276.18</v>
      </c>
      <c r="E2" s="51">
        <v>1162.23</v>
      </c>
      <c r="F2" s="51">
        <v>1115.36</v>
      </c>
      <c r="G2" s="51">
        <v>1457.48</v>
      </c>
      <c r="H2" s="51">
        <v>1317.71</v>
      </c>
      <c r="I2" s="51">
        <v>1579.27</v>
      </c>
      <c r="J2" s="51">
        <v>1623.24</v>
      </c>
      <c r="K2" s="51">
        <v>1691.96</v>
      </c>
      <c r="L2" s="51">
        <v>1843.42</v>
      </c>
      <c r="M2" s="51">
        <v>2116.81</v>
      </c>
      <c r="N2" s="51">
        <v>1671.3</v>
      </c>
      <c r="O2" s="45"/>
      <c r="P2" s="45"/>
      <c r="Q2" s="45"/>
      <c r="R2" s="45"/>
      <c r="S2" s="45"/>
      <c r="T2" s="45"/>
      <c r="U2" s="45"/>
      <c r="V2" s="45"/>
    </row>
    <row r="3">
      <c r="A3" s="49" t="s">
        <v>13</v>
      </c>
      <c r="B3" s="51">
        <v>213.76</v>
      </c>
      <c r="C3" s="51">
        <v>238.58</v>
      </c>
      <c r="D3" s="51">
        <v>196.76</v>
      </c>
      <c r="E3" s="51">
        <v>184.41</v>
      </c>
      <c r="F3" s="51">
        <v>198.38</v>
      </c>
      <c r="G3" s="51">
        <v>215.22</v>
      </c>
      <c r="H3" s="51">
        <v>208.08</v>
      </c>
      <c r="I3" s="51">
        <v>185.05</v>
      </c>
      <c r="J3" s="51">
        <v>195.05</v>
      </c>
      <c r="K3" s="51">
        <v>208.4</v>
      </c>
      <c r="L3" s="51">
        <v>251.65</v>
      </c>
      <c r="M3" s="51">
        <v>289.01</v>
      </c>
      <c r="N3" s="51">
        <v>232.34</v>
      </c>
      <c r="O3" s="45"/>
      <c r="P3" s="45"/>
      <c r="Q3" s="45"/>
      <c r="R3" s="45"/>
      <c r="S3" s="45"/>
      <c r="T3" s="45"/>
      <c r="U3" s="45"/>
      <c r="V3" s="45"/>
    </row>
    <row r="4">
      <c r="A4" s="49" t="s">
        <v>21</v>
      </c>
      <c r="B4" s="51">
        <v>740.58</v>
      </c>
      <c r="C4" s="51">
        <v>966.12</v>
      </c>
      <c r="D4" s="51">
        <v>1326.31</v>
      </c>
      <c r="E4" s="51">
        <v>1654.87</v>
      </c>
      <c r="F4" s="51">
        <v>1949.0</v>
      </c>
      <c r="G4" s="51">
        <v>2620.58</v>
      </c>
      <c r="H4" s="51">
        <v>2366.19</v>
      </c>
      <c r="I4" s="51">
        <v>1768.16</v>
      </c>
      <c r="J4" s="51">
        <v>1274.86</v>
      </c>
      <c r="K4" s="51">
        <v>981.38</v>
      </c>
      <c r="L4" s="51">
        <v>927.76</v>
      </c>
      <c r="M4" s="51">
        <v>983.49</v>
      </c>
      <c r="N4" s="51">
        <v>1107.55</v>
      </c>
      <c r="O4" s="45"/>
      <c r="P4" s="45"/>
      <c r="Q4" s="45"/>
      <c r="R4" s="45"/>
      <c r="S4" s="45"/>
      <c r="T4" s="45"/>
      <c r="U4" s="45"/>
      <c r="V4" s="45"/>
    </row>
    <row r="5">
      <c r="A5" s="49" t="s">
        <v>16</v>
      </c>
      <c r="B5" s="51">
        <v>212.9</v>
      </c>
      <c r="C5" s="51">
        <v>277.73</v>
      </c>
      <c r="D5" s="51">
        <v>381.27</v>
      </c>
      <c r="E5" s="51">
        <v>418.24</v>
      </c>
      <c r="F5" s="51">
        <v>564.31</v>
      </c>
      <c r="G5" s="51">
        <v>746.65</v>
      </c>
      <c r="H5" s="51">
        <v>787.09</v>
      </c>
      <c r="I5" s="51">
        <v>612.74</v>
      </c>
      <c r="J5" s="51">
        <v>359.8</v>
      </c>
      <c r="K5" s="51">
        <v>293.02</v>
      </c>
      <c r="L5" s="51">
        <v>249.5</v>
      </c>
      <c r="M5" s="51">
        <v>290.05</v>
      </c>
      <c r="N5" s="51">
        <v>328.4</v>
      </c>
      <c r="O5" s="45"/>
      <c r="P5" s="45"/>
      <c r="Q5" s="45"/>
      <c r="R5" s="45"/>
      <c r="S5" s="45"/>
      <c r="T5" s="45"/>
      <c r="U5" s="45"/>
      <c r="V5" s="45"/>
    </row>
    <row r="6">
      <c r="A6" s="49" t="s">
        <v>18</v>
      </c>
      <c r="B6" s="51">
        <v>1224.74</v>
      </c>
      <c r="C6" s="51">
        <v>1288.07</v>
      </c>
      <c r="D6" s="51">
        <v>1337.14</v>
      </c>
      <c r="E6" s="51">
        <v>1391.44</v>
      </c>
      <c r="F6" s="51">
        <v>1318.32</v>
      </c>
      <c r="G6" s="51">
        <v>1342.93</v>
      </c>
      <c r="H6" s="51">
        <v>1306.57</v>
      </c>
      <c r="I6" s="51">
        <v>1272.21</v>
      </c>
      <c r="J6" s="51">
        <v>1368.91</v>
      </c>
      <c r="K6" s="51">
        <v>1360.92</v>
      </c>
      <c r="L6" s="51">
        <v>1281.83</v>
      </c>
      <c r="M6" s="51">
        <v>1297.8</v>
      </c>
      <c r="N6" s="51">
        <v>1299.88</v>
      </c>
      <c r="O6" s="45"/>
      <c r="P6" s="45"/>
      <c r="Q6" s="45"/>
      <c r="R6" s="45"/>
      <c r="S6" s="45"/>
      <c r="T6" s="45"/>
      <c r="U6" s="45"/>
      <c r="V6" s="4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25"/>
  </cols>
  <sheetData>
    <row r="1">
      <c r="A1" s="53" t="s">
        <v>4</v>
      </c>
      <c r="B1" s="57">
        <v>45717.0</v>
      </c>
      <c r="C1" s="57">
        <v>45748.0</v>
      </c>
      <c r="D1" s="57">
        <v>45778.0</v>
      </c>
      <c r="E1" s="57">
        <v>45809.0</v>
      </c>
      <c r="F1" s="57">
        <v>45839.0</v>
      </c>
      <c r="G1" s="57">
        <v>45870.0</v>
      </c>
      <c r="H1" s="57">
        <v>45901.0</v>
      </c>
      <c r="I1" s="57">
        <v>45931.0</v>
      </c>
      <c r="J1" s="57">
        <v>45962.0</v>
      </c>
      <c r="K1" s="57">
        <v>45992.0</v>
      </c>
      <c r="L1" s="57">
        <v>46023.0</v>
      </c>
      <c r="M1" s="57">
        <v>46054.0</v>
      </c>
      <c r="N1" s="57">
        <v>46082.0</v>
      </c>
      <c r="O1" s="58"/>
      <c r="P1" s="58"/>
      <c r="Q1" s="58"/>
      <c r="R1" s="58"/>
      <c r="S1" s="58"/>
      <c r="T1" s="58"/>
      <c r="U1" s="58"/>
      <c r="V1" s="58"/>
    </row>
    <row r="2">
      <c r="A2" s="54" t="s">
        <v>11</v>
      </c>
      <c r="B2" s="51">
        <v>0.0</v>
      </c>
      <c r="C2" s="51">
        <v>0.0</v>
      </c>
      <c r="D2" s="51">
        <v>0.0</v>
      </c>
      <c r="E2" s="51">
        <v>0.0</v>
      </c>
      <c r="F2" s="51">
        <v>0.0</v>
      </c>
      <c r="G2" s="51">
        <v>0.0</v>
      </c>
      <c r="H2" s="51">
        <v>0.0</v>
      </c>
      <c r="I2" s="51">
        <v>0.0</v>
      </c>
      <c r="J2" s="51">
        <v>0.0</v>
      </c>
      <c r="K2" s="51">
        <v>0.0</v>
      </c>
      <c r="L2" s="51">
        <v>0.0</v>
      </c>
      <c r="M2" s="51">
        <v>0.0</v>
      </c>
      <c r="N2" s="51">
        <v>0.0</v>
      </c>
      <c r="O2" s="45"/>
      <c r="P2" s="45"/>
      <c r="Q2" s="45"/>
      <c r="R2" s="45"/>
      <c r="S2" s="45"/>
      <c r="T2" s="45"/>
      <c r="U2" s="45"/>
      <c r="V2" s="45"/>
    </row>
    <row r="3">
      <c r="A3" s="54" t="s">
        <v>13</v>
      </c>
      <c r="B3" s="51">
        <v>158.01</v>
      </c>
      <c r="C3" s="51">
        <v>200.98</v>
      </c>
      <c r="D3" s="51">
        <v>198.21</v>
      </c>
      <c r="E3" s="51">
        <v>145.84</v>
      </c>
      <c r="F3" s="51">
        <v>156.89</v>
      </c>
      <c r="G3" s="51">
        <v>156.57</v>
      </c>
      <c r="H3" s="51">
        <v>222.48</v>
      </c>
      <c r="I3" s="51">
        <v>189.63</v>
      </c>
      <c r="J3" s="51">
        <v>223.48</v>
      </c>
      <c r="K3" s="51">
        <v>224.57</v>
      </c>
      <c r="L3" s="51">
        <v>231.15</v>
      </c>
      <c r="M3" s="51">
        <v>227.31</v>
      </c>
      <c r="N3" s="51">
        <v>221.13</v>
      </c>
      <c r="O3" s="45"/>
      <c r="P3" s="45"/>
      <c r="Q3" s="45"/>
      <c r="R3" s="45"/>
      <c r="S3" s="45"/>
      <c r="T3" s="45"/>
      <c r="U3" s="45"/>
      <c r="V3" s="45"/>
    </row>
    <row r="4">
      <c r="A4" s="54" t="s">
        <v>21</v>
      </c>
      <c r="B4" s="51">
        <v>144.72</v>
      </c>
      <c r="C4" s="51">
        <v>188.79</v>
      </c>
      <c r="D4" s="51">
        <v>259.17</v>
      </c>
      <c r="E4" s="51">
        <v>284.29</v>
      </c>
      <c r="F4" s="51">
        <v>380.84</v>
      </c>
      <c r="G4" s="51">
        <v>483.43</v>
      </c>
      <c r="H4" s="51">
        <v>474.78</v>
      </c>
      <c r="I4" s="51">
        <v>345.51</v>
      </c>
      <c r="J4" s="51">
        <v>221.93</v>
      </c>
      <c r="K4" s="51">
        <v>167.69</v>
      </c>
      <c r="L4" s="51">
        <v>180.39</v>
      </c>
      <c r="M4" s="51">
        <v>190.2</v>
      </c>
      <c r="N4" s="51">
        <v>215.35</v>
      </c>
      <c r="O4" s="45"/>
      <c r="P4" s="45"/>
      <c r="Q4" s="45"/>
      <c r="R4" s="45"/>
      <c r="S4" s="45"/>
      <c r="T4" s="45"/>
      <c r="U4" s="45"/>
      <c r="V4" s="45"/>
    </row>
    <row r="5">
      <c r="A5" s="54" t="s">
        <v>16</v>
      </c>
      <c r="B5" s="51">
        <v>31.56</v>
      </c>
      <c r="C5" s="51">
        <v>41.18</v>
      </c>
      <c r="D5" s="51">
        <v>56.53</v>
      </c>
      <c r="E5" s="51">
        <v>62.01</v>
      </c>
      <c r="F5" s="51">
        <v>185.54</v>
      </c>
      <c r="G5" s="51">
        <v>235.52</v>
      </c>
      <c r="H5" s="51">
        <v>220.48</v>
      </c>
      <c r="I5" s="51">
        <v>75.36</v>
      </c>
      <c r="J5" s="51">
        <v>108.12</v>
      </c>
      <c r="K5" s="51">
        <v>81.7</v>
      </c>
      <c r="L5" s="51">
        <v>39.34</v>
      </c>
      <c r="M5" s="51">
        <v>41.48</v>
      </c>
      <c r="N5" s="51">
        <v>46.97</v>
      </c>
      <c r="O5" s="45"/>
      <c r="P5" s="45"/>
      <c r="Q5" s="45"/>
      <c r="R5" s="45"/>
      <c r="S5" s="45"/>
      <c r="T5" s="45"/>
      <c r="U5" s="45"/>
      <c r="V5" s="45"/>
    </row>
    <row r="6">
      <c r="A6" s="54" t="s">
        <v>18</v>
      </c>
      <c r="B6" s="51">
        <v>728.34</v>
      </c>
      <c r="C6" s="51">
        <v>773.15</v>
      </c>
      <c r="D6" s="51">
        <v>794.74</v>
      </c>
      <c r="E6" s="51">
        <v>831.99</v>
      </c>
      <c r="F6" s="51">
        <v>859.46</v>
      </c>
      <c r="G6" s="51">
        <v>797.29</v>
      </c>
      <c r="H6" s="51">
        <v>781.29</v>
      </c>
      <c r="I6" s="51">
        <v>766.18</v>
      </c>
      <c r="J6" s="51">
        <v>909.72</v>
      </c>
      <c r="K6" s="51">
        <v>804.9</v>
      </c>
      <c r="L6" s="51">
        <v>770.41</v>
      </c>
      <c r="M6" s="51">
        <v>777.42</v>
      </c>
      <c r="N6" s="51">
        <v>1168.35</v>
      </c>
      <c r="O6" s="45"/>
      <c r="P6" s="45"/>
      <c r="Q6" s="45"/>
      <c r="R6" s="45"/>
      <c r="S6" s="45"/>
      <c r="T6" s="45"/>
      <c r="U6" s="45"/>
      <c r="V6" s="45"/>
    </row>
    <row r="7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</row>
    <row r="8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</row>
    <row r="9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</row>
    <row r="10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88"/>
  </cols>
  <sheetData>
    <row r="1" ht="15.75" customHeight="1">
      <c r="A1" s="46" t="s">
        <v>4</v>
      </c>
      <c r="B1" s="47">
        <v>45717.0</v>
      </c>
      <c r="C1" s="47">
        <v>45748.0</v>
      </c>
      <c r="D1" s="48">
        <v>45778.0</v>
      </c>
      <c r="E1" s="48">
        <v>45809.0</v>
      </c>
      <c r="F1" s="47">
        <v>45839.0</v>
      </c>
      <c r="G1" s="48">
        <v>45870.0</v>
      </c>
      <c r="H1" s="47">
        <v>45901.0</v>
      </c>
      <c r="I1" s="47">
        <v>45931.0</v>
      </c>
      <c r="J1" s="48">
        <v>45962.0</v>
      </c>
      <c r="K1" s="48">
        <v>45992.0</v>
      </c>
      <c r="L1" s="47">
        <v>46023.0</v>
      </c>
      <c r="M1" s="47">
        <v>46054.0</v>
      </c>
      <c r="N1" s="48">
        <v>46082.0</v>
      </c>
      <c r="O1" s="47"/>
      <c r="P1" s="47"/>
      <c r="Q1" s="47"/>
      <c r="R1" s="47"/>
      <c r="S1" s="47"/>
      <c r="T1" s="47"/>
      <c r="U1" s="47"/>
      <c r="V1" s="47"/>
      <c r="W1" s="48"/>
    </row>
    <row r="2" ht="15.75" customHeight="1">
      <c r="A2" s="49" t="s">
        <v>11</v>
      </c>
      <c r="B2" s="50">
        <v>1874.23</v>
      </c>
      <c r="C2" s="50">
        <v>2425.48</v>
      </c>
      <c r="D2" s="51">
        <v>2009.48</v>
      </c>
      <c r="E2" s="51">
        <v>2047.97</v>
      </c>
      <c r="F2" s="51">
        <v>1968.53</v>
      </c>
      <c r="G2" s="51">
        <v>2482.16</v>
      </c>
      <c r="H2" s="51">
        <v>2512.76</v>
      </c>
      <c r="I2" s="51">
        <v>2383.88</v>
      </c>
      <c r="J2" s="51">
        <v>2730.08</v>
      </c>
      <c r="K2" s="51">
        <v>2588.29</v>
      </c>
      <c r="L2" s="51">
        <v>2499.8</v>
      </c>
      <c r="M2" s="51">
        <v>2259.05</v>
      </c>
      <c r="N2" s="51">
        <v>1812.28</v>
      </c>
      <c r="O2" s="51"/>
      <c r="P2" s="51"/>
      <c r="Q2" s="51"/>
      <c r="R2" s="51"/>
      <c r="S2" s="51"/>
      <c r="T2" s="51"/>
      <c r="U2" s="51"/>
      <c r="V2" s="51"/>
      <c r="W2" s="51"/>
    </row>
    <row r="3" ht="15.75" customHeight="1">
      <c r="A3" s="49" t="s">
        <v>13</v>
      </c>
      <c r="B3" s="50">
        <v>360.27</v>
      </c>
      <c r="C3" s="50">
        <v>401.75</v>
      </c>
      <c r="D3" s="51">
        <v>380.17</v>
      </c>
      <c r="E3" s="51">
        <v>362.54</v>
      </c>
      <c r="F3" s="51">
        <v>412.28</v>
      </c>
      <c r="G3" s="51">
        <v>441.78</v>
      </c>
      <c r="H3" s="51">
        <v>413.86</v>
      </c>
      <c r="I3" s="51">
        <v>410.43</v>
      </c>
      <c r="J3" s="51">
        <v>449.36</v>
      </c>
      <c r="K3" s="51">
        <v>433.96</v>
      </c>
      <c r="L3" s="51">
        <v>460.18</v>
      </c>
      <c r="M3" s="51">
        <v>448.4</v>
      </c>
      <c r="N3" s="51">
        <v>366.84</v>
      </c>
      <c r="O3" s="51"/>
      <c r="P3" s="51"/>
      <c r="Q3" s="51"/>
      <c r="R3" s="51"/>
      <c r="S3" s="51"/>
      <c r="T3" s="51"/>
      <c r="U3" s="51"/>
      <c r="V3" s="51"/>
      <c r="W3" s="51"/>
    </row>
    <row r="4" ht="15.75" customHeight="1">
      <c r="A4" s="49" t="s">
        <v>21</v>
      </c>
      <c r="B4" s="50">
        <v>753.63</v>
      </c>
      <c r="C4" s="50">
        <v>913.64</v>
      </c>
      <c r="D4" s="51">
        <v>865.32</v>
      </c>
      <c r="E4" s="51">
        <v>929.98</v>
      </c>
      <c r="F4" s="51">
        <v>1249.03</v>
      </c>
      <c r="G4" s="51">
        <v>947.13</v>
      </c>
      <c r="H4" s="51">
        <v>1207.0</v>
      </c>
      <c r="I4" s="51">
        <v>1376.68</v>
      </c>
      <c r="J4" s="51">
        <v>1289.96</v>
      </c>
      <c r="K4" s="51">
        <v>1286.45</v>
      </c>
      <c r="L4" s="51">
        <v>1314.53</v>
      </c>
      <c r="M4" s="51">
        <v>1417.8</v>
      </c>
      <c r="N4" s="51">
        <v>1576.36</v>
      </c>
      <c r="O4" s="51"/>
      <c r="P4" s="51"/>
      <c r="Q4" s="51"/>
      <c r="R4" s="51"/>
      <c r="S4" s="51"/>
      <c r="T4" s="51"/>
      <c r="U4" s="51"/>
      <c r="V4" s="51"/>
      <c r="W4" s="51"/>
    </row>
    <row r="5" ht="15.75" customHeight="1">
      <c r="A5" s="49" t="s">
        <v>16</v>
      </c>
      <c r="B5" s="50">
        <v>892.09</v>
      </c>
      <c r="C5" s="50">
        <v>1352.45</v>
      </c>
      <c r="D5" s="51">
        <v>1869.96</v>
      </c>
      <c r="E5" s="51">
        <v>2986.56</v>
      </c>
      <c r="F5" s="51">
        <v>3849.37</v>
      </c>
      <c r="G5" s="51">
        <v>4334.04</v>
      </c>
      <c r="H5" s="51">
        <v>4094.65</v>
      </c>
      <c r="I5" s="51">
        <v>4187.3</v>
      </c>
      <c r="J5" s="51">
        <v>3553.32</v>
      </c>
      <c r="K5" s="51">
        <v>1863.07</v>
      </c>
      <c r="L5" s="51">
        <v>1633.31</v>
      </c>
      <c r="M5" s="51">
        <v>1383.97</v>
      </c>
      <c r="N5" s="51">
        <v>1693.5</v>
      </c>
      <c r="O5" s="51"/>
      <c r="P5" s="51"/>
      <c r="Q5" s="51"/>
      <c r="R5" s="51"/>
      <c r="S5" s="51"/>
      <c r="T5" s="51"/>
      <c r="U5" s="51"/>
      <c r="V5" s="51"/>
      <c r="W5" s="51"/>
    </row>
    <row r="6" ht="15.75" customHeight="1">
      <c r="A6" s="49" t="s">
        <v>18</v>
      </c>
      <c r="B6" s="50">
        <v>1439.39</v>
      </c>
      <c r="C6" s="50">
        <v>1525.27</v>
      </c>
      <c r="D6" s="51">
        <v>1514.65</v>
      </c>
      <c r="E6" s="51">
        <v>1681.26</v>
      </c>
      <c r="F6" s="51">
        <v>1560.15</v>
      </c>
      <c r="G6" s="51">
        <v>1586.52</v>
      </c>
      <c r="H6" s="51">
        <v>1639.57</v>
      </c>
      <c r="I6" s="51">
        <v>1596.78</v>
      </c>
      <c r="J6" s="51">
        <v>1670.66</v>
      </c>
      <c r="K6" s="51">
        <v>1649.36</v>
      </c>
      <c r="L6" s="51">
        <v>1686.44</v>
      </c>
      <c r="M6" s="51">
        <v>1778.23</v>
      </c>
      <c r="N6" s="51">
        <v>1806.34</v>
      </c>
      <c r="O6" s="51"/>
      <c r="P6" s="51"/>
      <c r="Q6" s="51"/>
      <c r="R6" s="51"/>
      <c r="S6" s="51"/>
      <c r="T6" s="51"/>
      <c r="U6" s="51"/>
      <c r="V6" s="51"/>
      <c r="W6" s="51"/>
    </row>
    <row r="7" ht="15.75" customHeight="1">
      <c r="A7" s="56"/>
      <c r="B7" s="54"/>
      <c r="C7" s="54"/>
    </row>
    <row r="8" ht="15.75" customHeight="1">
      <c r="A8" s="56"/>
      <c r="B8" s="54"/>
      <c r="C8" s="54"/>
    </row>
    <row r="9" ht="15.75" customHeight="1">
      <c r="A9" s="56"/>
      <c r="B9" s="54"/>
      <c r="C9" s="54"/>
    </row>
    <row r="10" ht="15.75" customHeight="1">
      <c r="A10" s="56"/>
      <c r="B10" s="54"/>
      <c r="C10" s="54"/>
    </row>
    <row r="11" ht="15.75" customHeight="1">
      <c r="A11" s="56"/>
      <c r="B11" s="54"/>
      <c r="C11" s="54"/>
    </row>
    <row r="12" ht="15.75" customHeight="1">
      <c r="A12" s="56"/>
      <c r="B12" s="54"/>
      <c r="C12" s="54"/>
    </row>
    <row r="13" ht="15.75" customHeight="1">
      <c r="A13" s="56"/>
      <c r="B13" s="54"/>
      <c r="C13" s="54"/>
    </row>
    <row r="14" ht="15.75" customHeight="1">
      <c r="A14" s="56"/>
      <c r="B14" s="54"/>
      <c r="C14" s="54"/>
    </row>
    <row r="15" ht="15.75" customHeight="1">
      <c r="A15" s="56"/>
    </row>
    <row r="16" ht="15.75" customHeight="1">
      <c r="A16" s="56"/>
    </row>
    <row r="17" ht="15.75" customHeight="1">
      <c r="A17" s="56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88"/>
  </cols>
  <sheetData>
    <row r="1" ht="15.75" customHeight="1">
      <c r="A1" s="46" t="s">
        <v>4</v>
      </c>
      <c r="B1" s="48">
        <v>45717.0</v>
      </c>
      <c r="C1" s="47">
        <v>45748.0</v>
      </c>
      <c r="D1" s="47">
        <v>45778.0</v>
      </c>
      <c r="E1" s="47">
        <v>45809.0</v>
      </c>
      <c r="F1" s="47">
        <v>45839.0</v>
      </c>
      <c r="G1" s="47">
        <v>45870.0</v>
      </c>
      <c r="H1" s="47">
        <v>45901.0</v>
      </c>
      <c r="I1" s="47">
        <v>45931.0</v>
      </c>
      <c r="J1" s="47">
        <v>45962.0</v>
      </c>
      <c r="K1" s="47">
        <v>45992.0</v>
      </c>
      <c r="L1" s="47">
        <v>46023.0</v>
      </c>
      <c r="M1" s="47">
        <v>46054.0</v>
      </c>
      <c r="N1" s="47">
        <v>46082.0</v>
      </c>
      <c r="O1" s="47"/>
      <c r="P1" s="47"/>
      <c r="Q1" s="47"/>
      <c r="R1" s="47"/>
      <c r="S1" s="47"/>
      <c r="T1" s="47"/>
      <c r="U1" s="47"/>
      <c r="V1" s="47"/>
    </row>
    <row r="2" ht="15.75" customHeight="1">
      <c r="A2" s="49" t="s">
        <v>11</v>
      </c>
      <c r="B2" s="50">
        <v>0.0</v>
      </c>
      <c r="C2" s="50">
        <v>0.0</v>
      </c>
      <c r="D2" s="50">
        <v>0.0</v>
      </c>
      <c r="E2" s="51">
        <v>0.0</v>
      </c>
      <c r="F2" s="51">
        <v>0.0</v>
      </c>
      <c r="G2" s="51">
        <v>0.0</v>
      </c>
      <c r="H2" s="51">
        <v>0.0</v>
      </c>
      <c r="I2" s="51">
        <v>0.0</v>
      </c>
      <c r="J2" s="51">
        <v>0.0</v>
      </c>
      <c r="K2" s="51">
        <v>0.0</v>
      </c>
      <c r="L2" s="51">
        <v>0.0</v>
      </c>
      <c r="M2" s="51">
        <v>0.0</v>
      </c>
      <c r="N2" s="51">
        <v>0.0</v>
      </c>
      <c r="O2" s="51"/>
      <c r="P2" s="51"/>
      <c r="Q2" s="51"/>
      <c r="R2" s="51"/>
      <c r="S2" s="51"/>
      <c r="T2" s="51"/>
      <c r="U2" s="51"/>
      <c r="V2" s="51"/>
    </row>
    <row r="3" ht="15.75" customHeight="1">
      <c r="A3" s="49" t="s">
        <v>13</v>
      </c>
      <c r="B3" s="50">
        <v>149.62</v>
      </c>
      <c r="C3" s="50">
        <v>167.28</v>
      </c>
      <c r="D3" s="50">
        <v>180.38</v>
      </c>
      <c r="E3" s="50">
        <v>195.8</v>
      </c>
      <c r="F3" s="51">
        <v>169.92</v>
      </c>
      <c r="G3" s="51">
        <v>195.95</v>
      </c>
      <c r="H3" s="51">
        <v>66.77</v>
      </c>
      <c r="I3" s="51">
        <v>69.0</v>
      </c>
      <c r="J3" s="51">
        <v>66.74</v>
      </c>
      <c r="K3" s="51">
        <v>60.0</v>
      </c>
      <c r="L3" s="51">
        <v>103.53</v>
      </c>
      <c r="M3" s="51">
        <v>76.1</v>
      </c>
      <c r="N3" s="51">
        <v>71.82</v>
      </c>
      <c r="O3" s="51"/>
      <c r="P3" s="51"/>
      <c r="Q3" s="51"/>
      <c r="R3" s="51"/>
      <c r="S3" s="51"/>
      <c r="T3" s="51"/>
      <c r="U3" s="51"/>
      <c r="V3" s="51"/>
    </row>
    <row r="4" ht="15.75" customHeight="1">
      <c r="A4" s="49" t="s">
        <v>21</v>
      </c>
      <c r="B4" s="50">
        <v>150.74</v>
      </c>
      <c r="C4" s="50">
        <v>182.74</v>
      </c>
      <c r="D4" s="50">
        <v>173.07</v>
      </c>
      <c r="E4" s="50">
        <v>185.81</v>
      </c>
      <c r="F4" s="51">
        <v>179.82</v>
      </c>
      <c r="G4" s="51">
        <v>169.44</v>
      </c>
      <c r="H4" s="51">
        <v>177.42</v>
      </c>
      <c r="I4" s="51">
        <v>210.42</v>
      </c>
      <c r="J4" s="51">
        <v>193.15</v>
      </c>
      <c r="K4" s="51">
        <v>192.45</v>
      </c>
      <c r="L4" s="51">
        <v>179.12</v>
      </c>
      <c r="M4" s="51">
        <v>244.67</v>
      </c>
      <c r="N4" s="51">
        <v>304.6</v>
      </c>
      <c r="O4" s="51"/>
      <c r="P4" s="51"/>
      <c r="Q4" s="51"/>
      <c r="R4" s="51"/>
      <c r="S4" s="51"/>
      <c r="T4" s="51"/>
      <c r="U4" s="51"/>
      <c r="V4" s="51"/>
    </row>
    <row r="5" ht="15.75" customHeight="1">
      <c r="A5" s="49" t="s">
        <v>16</v>
      </c>
      <c r="B5" s="50">
        <v>154.77</v>
      </c>
      <c r="C5" s="51">
        <v>234.64</v>
      </c>
      <c r="D5" s="50">
        <v>336.44</v>
      </c>
      <c r="E5" s="50">
        <v>888.96</v>
      </c>
      <c r="F5" s="51">
        <v>1115.12</v>
      </c>
      <c r="G5" s="51">
        <v>1255.98</v>
      </c>
      <c r="H5" s="51">
        <v>1018.42</v>
      </c>
      <c r="I5" s="51">
        <v>1104.42</v>
      </c>
      <c r="J5" s="51">
        <v>874.71</v>
      </c>
      <c r="K5" s="51">
        <v>390.49</v>
      </c>
      <c r="L5" s="51">
        <v>324.67</v>
      </c>
      <c r="M5" s="51">
        <v>280.59</v>
      </c>
      <c r="N5" s="51">
        <v>327.39</v>
      </c>
      <c r="O5" s="51"/>
      <c r="P5" s="51"/>
      <c r="Q5" s="51"/>
      <c r="R5" s="51"/>
      <c r="S5" s="51"/>
      <c r="T5" s="51"/>
      <c r="U5" s="51"/>
      <c r="V5" s="51"/>
    </row>
    <row r="6" ht="15.75" customHeight="1">
      <c r="A6" s="49" t="s">
        <v>18</v>
      </c>
      <c r="B6" s="50">
        <v>916.28</v>
      </c>
      <c r="C6" s="51">
        <v>983.81</v>
      </c>
      <c r="D6" s="50">
        <v>978.07</v>
      </c>
      <c r="E6" s="50">
        <v>1030.04</v>
      </c>
      <c r="F6" s="51">
        <v>1059.22</v>
      </c>
      <c r="G6" s="51">
        <v>1016.88</v>
      </c>
      <c r="H6" s="51">
        <v>1045.53</v>
      </c>
      <c r="I6" s="51">
        <v>1022.42</v>
      </c>
      <c r="J6" s="51">
        <v>1310.32</v>
      </c>
      <c r="K6" s="51">
        <v>1050.82</v>
      </c>
      <c r="L6" s="51">
        <v>1070.84</v>
      </c>
      <c r="M6" s="51">
        <v>1120.4</v>
      </c>
      <c r="N6" s="51">
        <v>1136.12</v>
      </c>
      <c r="O6" s="51"/>
      <c r="P6" s="51"/>
      <c r="Q6" s="51"/>
      <c r="R6" s="51"/>
      <c r="S6" s="51"/>
      <c r="T6" s="51"/>
      <c r="U6" s="51"/>
      <c r="V6" s="51"/>
    </row>
    <row r="7" ht="15.75" customHeight="1">
      <c r="A7" s="56"/>
      <c r="B7" s="54"/>
      <c r="C7" s="54"/>
      <c r="D7" s="54"/>
      <c r="E7" s="54"/>
    </row>
    <row r="8" ht="15.75" customHeight="1">
      <c r="A8" s="56"/>
      <c r="B8" s="54"/>
      <c r="C8" s="54"/>
      <c r="D8" s="54"/>
      <c r="E8" s="54"/>
    </row>
    <row r="9" ht="15.75" customHeight="1">
      <c r="A9" s="56"/>
      <c r="B9" s="54"/>
      <c r="C9" s="54"/>
      <c r="D9" s="54"/>
      <c r="E9" s="54"/>
    </row>
    <row r="10" ht="15.75" customHeight="1">
      <c r="A10" s="56"/>
      <c r="B10" s="54"/>
      <c r="C10" s="54"/>
      <c r="D10" s="54"/>
      <c r="E10" s="54"/>
    </row>
    <row r="11" ht="15.75" customHeight="1">
      <c r="A11" s="56"/>
      <c r="B11" s="54"/>
      <c r="C11" s="54"/>
      <c r="D11" s="54"/>
      <c r="E11" s="54"/>
    </row>
    <row r="12" ht="15.75" customHeight="1">
      <c r="A12" s="56"/>
      <c r="B12" s="54"/>
      <c r="C12" s="54"/>
      <c r="D12" s="54"/>
      <c r="E12" s="54"/>
    </row>
    <row r="13" ht="15.75" customHeight="1">
      <c r="A13" s="56"/>
      <c r="B13" s="54"/>
      <c r="C13" s="54"/>
      <c r="D13" s="54"/>
      <c r="E13" s="54"/>
    </row>
    <row r="14" ht="15.75" customHeight="1">
      <c r="A14" s="56"/>
      <c r="B14" s="54"/>
      <c r="C14" s="54"/>
      <c r="D14" s="54"/>
      <c r="E14" s="54"/>
    </row>
    <row r="15" ht="15.75" customHeight="1">
      <c r="A15" s="56"/>
      <c r="B15" s="54"/>
      <c r="C15" s="54"/>
      <c r="D15" s="54"/>
      <c r="E15" s="54"/>
    </row>
    <row r="16" ht="15.75" customHeight="1">
      <c r="A16" s="56"/>
      <c r="B16" s="54"/>
      <c r="C16" s="54"/>
      <c r="D16" s="54"/>
      <c r="E16" s="54"/>
    </row>
    <row r="17" ht="15.75" customHeight="1">
      <c r="A17" s="56"/>
      <c r="B17" s="54"/>
      <c r="C17" s="54"/>
      <c r="D17" s="54"/>
      <c r="E17" s="54"/>
    </row>
    <row r="18" ht="15.75" customHeight="1">
      <c r="A18" s="56"/>
      <c r="B18" s="54"/>
      <c r="C18" s="54"/>
      <c r="D18" s="54"/>
      <c r="E18" s="54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88"/>
  </cols>
  <sheetData>
    <row r="1" ht="15.75" customHeight="1">
      <c r="A1" s="46" t="s">
        <v>4</v>
      </c>
      <c r="B1" s="47">
        <v>45717.0</v>
      </c>
      <c r="C1" s="47">
        <v>45748.0</v>
      </c>
      <c r="D1" s="48">
        <v>45778.0</v>
      </c>
      <c r="E1" s="48">
        <v>45809.0</v>
      </c>
      <c r="F1" s="47">
        <v>45839.0</v>
      </c>
      <c r="G1" s="48">
        <v>45870.0</v>
      </c>
      <c r="H1" s="47">
        <v>45901.0</v>
      </c>
      <c r="I1" s="47">
        <v>45931.0</v>
      </c>
      <c r="J1" s="48">
        <v>45962.0</v>
      </c>
      <c r="K1" s="47">
        <v>45992.0</v>
      </c>
      <c r="L1" s="47">
        <v>46023.0</v>
      </c>
      <c r="M1" s="48">
        <v>46054.0</v>
      </c>
      <c r="N1" s="47">
        <v>46082.0</v>
      </c>
      <c r="O1" s="48"/>
      <c r="P1" s="48"/>
      <c r="Q1" s="48"/>
      <c r="R1" s="48"/>
      <c r="S1" s="48"/>
      <c r="T1" s="48"/>
    </row>
    <row r="2" ht="15.75" customHeight="1">
      <c r="A2" s="49" t="s">
        <v>11</v>
      </c>
      <c r="B2" s="50">
        <v>1397.62</v>
      </c>
      <c r="C2" s="50">
        <v>1382.13</v>
      </c>
      <c r="D2" s="50">
        <v>1566.48</v>
      </c>
      <c r="E2" s="50">
        <v>1025.18</v>
      </c>
      <c r="F2" s="50">
        <v>1110.49</v>
      </c>
      <c r="G2" s="50">
        <v>1186.56</v>
      </c>
      <c r="H2" s="50">
        <v>1110.22</v>
      </c>
      <c r="I2" s="50">
        <v>1332.35</v>
      </c>
      <c r="J2" s="50">
        <v>1285.37</v>
      </c>
      <c r="K2" s="50">
        <v>1199.88</v>
      </c>
      <c r="L2" s="50">
        <v>1209.06</v>
      </c>
      <c r="M2" s="50">
        <v>1588.29</v>
      </c>
      <c r="N2" s="50">
        <v>1420.15</v>
      </c>
      <c r="O2" s="50"/>
      <c r="P2" s="50"/>
      <c r="Q2" s="50"/>
      <c r="R2" s="50"/>
      <c r="S2" s="50"/>
      <c r="T2" s="50"/>
    </row>
    <row r="3" ht="15.75" customHeight="1">
      <c r="A3" s="49" t="s">
        <v>13</v>
      </c>
      <c r="B3" s="50">
        <v>321.67</v>
      </c>
      <c r="C3" s="50">
        <v>204.88</v>
      </c>
      <c r="D3" s="50">
        <v>327.58</v>
      </c>
      <c r="E3" s="50">
        <v>295.01</v>
      </c>
      <c r="F3" s="50">
        <v>265.54</v>
      </c>
      <c r="G3" s="50">
        <v>302.49</v>
      </c>
      <c r="H3" s="50">
        <v>296.16</v>
      </c>
      <c r="I3" s="50">
        <v>299.44</v>
      </c>
      <c r="J3" s="50">
        <v>300.08</v>
      </c>
      <c r="K3" s="50">
        <v>254.18</v>
      </c>
      <c r="L3" s="50">
        <v>305.52</v>
      </c>
      <c r="M3" s="50">
        <v>373.8</v>
      </c>
      <c r="N3" s="50">
        <v>338.96</v>
      </c>
      <c r="O3" s="50"/>
      <c r="P3" s="50"/>
      <c r="Q3" s="50"/>
      <c r="R3" s="50"/>
      <c r="S3" s="50"/>
      <c r="T3" s="50"/>
    </row>
    <row r="4" ht="15.75" customHeight="1">
      <c r="A4" s="49" t="s">
        <v>21</v>
      </c>
      <c r="B4" s="50">
        <v>666.49</v>
      </c>
      <c r="C4" s="50">
        <v>935.19</v>
      </c>
      <c r="D4" s="50">
        <v>650.75</v>
      </c>
      <c r="E4" s="50">
        <v>713.37</v>
      </c>
      <c r="F4" s="50">
        <v>786.23</v>
      </c>
      <c r="G4" s="50">
        <v>750.66</v>
      </c>
      <c r="H4" s="50">
        <v>723.79</v>
      </c>
      <c r="I4" s="50">
        <v>761.75</v>
      </c>
      <c r="J4" s="50">
        <v>708.57</v>
      </c>
      <c r="K4" s="50">
        <v>675.76</v>
      </c>
      <c r="L4" s="50">
        <v>625.73</v>
      </c>
      <c r="M4" s="50">
        <v>758.53</v>
      </c>
      <c r="N4" s="50">
        <v>736.3</v>
      </c>
      <c r="O4" s="50"/>
      <c r="P4" s="50"/>
      <c r="Q4" s="50"/>
      <c r="R4" s="50"/>
      <c r="S4" s="50"/>
      <c r="T4" s="50"/>
    </row>
    <row r="5" ht="15.75" customHeight="1">
      <c r="A5" s="49" t="s">
        <v>16</v>
      </c>
      <c r="B5" s="50">
        <v>570.93</v>
      </c>
      <c r="C5" s="50">
        <v>915.13</v>
      </c>
      <c r="D5" s="50">
        <v>1105.81</v>
      </c>
      <c r="E5" s="50">
        <v>2301.21</v>
      </c>
      <c r="F5" s="50">
        <v>2039.16</v>
      </c>
      <c r="G5" s="50">
        <v>2221.86</v>
      </c>
      <c r="H5" s="50">
        <v>2293.06</v>
      </c>
      <c r="I5" s="50">
        <v>1934.65</v>
      </c>
      <c r="J5" s="50">
        <v>1336.65</v>
      </c>
      <c r="K5" s="50">
        <v>921.99</v>
      </c>
      <c r="L5" s="50">
        <v>620.28</v>
      </c>
      <c r="M5" s="50">
        <v>538.64</v>
      </c>
      <c r="N5" s="50">
        <v>621.87</v>
      </c>
      <c r="O5" s="50"/>
      <c r="P5" s="50"/>
      <c r="Q5" s="50"/>
      <c r="R5" s="50"/>
      <c r="S5" s="50"/>
      <c r="T5" s="50"/>
    </row>
    <row r="6" ht="15.75" customHeight="1">
      <c r="A6" s="49" t="s">
        <v>18</v>
      </c>
      <c r="B6" s="50">
        <v>1123.14</v>
      </c>
      <c r="C6" s="50">
        <v>1173.91</v>
      </c>
      <c r="D6" s="50">
        <v>1203.21</v>
      </c>
      <c r="E6" s="50">
        <v>1424.67</v>
      </c>
      <c r="F6" s="50">
        <v>1160.41</v>
      </c>
      <c r="G6" s="50">
        <v>1193.78</v>
      </c>
      <c r="H6" s="50">
        <v>1176.04</v>
      </c>
      <c r="I6" s="50">
        <v>1194.27</v>
      </c>
      <c r="J6" s="50">
        <v>1207.48</v>
      </c>
      <c r="K6" s="50">
        <v>1193.95</v>
      </c>
      <c r="L6" s="50">
        <v>1234.85</v>
      </c>
      <c r="M6" s="50">
        <v>1252.05</v>
      </c>
      <c r="N6" s="50">
        <v>1183.78</v>
      </c>
      <c r="O6" s="50"/>
      <c r="P6" s="50"/>
      <c r="Q6" s="50"/>
      <c r="R6" s="50"/>
      <c r="S6" s="50"/>
      <c r="T6" s="50"/>
    </row>
    <row r="7" ht="15.75" customHeight="1">
      <c r="A7" s="56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ht="15.75" customHeight="1">
      <c r="A8" s="56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ht="15.75" customHeight="1">
      <c r="A9" s="56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ht="15.75" customHeight="1">
      <c r="A10" s="56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</row>
    <row r="11" ht="15.75" customHeight="1">
      <c r="A11" s="56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</row>
    <row r="12" ht="15.75" customHeight="1">
      <c r="A12" s="56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</row>
    <row r="13" ht="15.75" customHeight="1">
      <c r="A13" s="56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</row>
    <row r="14" ht="15.75" customHeight="1">
      <c r="A14" s="56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</row>
    <row r="15" ht="15.75" customHeight="1">
      <c r="A15" s="56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</row>
    <row r="16" ht="15.75" customHeight="1">
      <c r="A16" s="56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</row>
    <row r="17" ht="15.75" customHeight="1">
      <c r="A17" s="56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25"/>
  </cols>
  <sheetData>
    <row r="1" ht="15.75" customHeight="1">
      <c r="A1" s="46" t="s">
        <v>4</v>
      </c>
      <c r="B1" s="47">
        <v>45717.0</v>
      </c>
      <c r="C1" s="47">
        <v>45748.0</v>
      </c>
      <c r="D1" s="47">
        <v>45778.0</v>
      </c>
      <c r="E1" s="47">
        <v>45809.0</v>
      </c>
      <c r="F1" s="47">
        <v>45839.0</v>
      </c>
      <c r="G1" s="47">
        <v>45870.0</v>
      </c>
      <c r="H1" s="47">
        <v>45901.0</v>
      </c>
      <c r="I1" s="47">
        <v>45931.0</v>
      </c>
      <c r="J1" s="47">
        <v>45962.0</v>
      </c>
      <c r="K1" s="47">
        <v>45992.0</v>
      </c>
      <c r="L1" s="47">
        <v>46023.0</v>
      </c>
      <c r="M1" s="47">
        <v>46054.0</v>
      </c>
      <c r="N1" s="47">
        <v>46082.0</v>
      </c>
      <c r="O1" s="47"/>
      <c r="P1" s="47"/>
      <c r="Q1" s="47"/>
      <c r="R1" s="47"/>
      <c r="S1" s="47"/>
      <c r="T1" s="47"/>
      <c r="U1" s="47"/>
    </row>
    <row r="2" ht="15.75" customHeight="1">
      <c r="A2" s="49" t="s">
        <v>11</v>
      </c>
      <c r="B2" s="50">
        <v>492.53</v>
      </c>
      <c r="C2" s="54">
        <v>604.8512499999999</v>
      </c>
      <c r="D2" s="50">
        <v>563.19</v>
      </c>
      <c r="E2" s="50">
        <v>575.3</v>
      </c>
      <c r="F2" s="50">
        <v>702.82</v>
      </c>
      <c r="G2" s="51">
        <v>878.49</v>
      </c>
      <c r="H2" s="51">
        <v>813.57</v>
      </c>
      <c r="I2" s="51">
        <v>766.57</v>
      </c>
      <c r="J2" s="51">
        <v>672.45</v>
      </c>
      <c r="K2" s="51">
        <v>681.08</v>
      </c>
      <c r="L2" s="51">
        <v>1013.0</v>
      </c>
      <c r="M2" s="51">
        <v>641.2</v>
      </c>
      <c r="N2" s="51">
        <v>435.16</v>
      </c>
      <c r="O2" s="51"/>
      <c r="P2" s="51"/>
      <c r="Q2" s="51"/>
      <c r="R2" s="51"/>
      <c r="S2" s="51"/>
      <c r="T2" s="51"/>
      <c r="U2" s="51"/>
    </row>
    <row r="3" ht="15.75" customHeight="1">
      <c r="A3" s="49" t="s">
        <v>13</v>
      </c>
      <c r="B3" s="50">
        <v>145.83</v>
      </c>
      <c r="C3" s="50">
        <v>176.14</v>
      </c>
      <c r="D3" s="50">
        <v>188.1</v>
      </c>
      <c r="E3" s="50">
        <v>204.81</v>
      </c>
      <c r="F3" s="50">
        <v>192.0</v>
      </c>
      <c r="G3" s="51">
        <v>271.35</v>
      </c>
      <c r="H3" s="51">
        <v>254.1</v>
      </c>
      <c r="I3" s="51">
        <v>262.19</v>
      </c>
      <c r="J3" s="51">
        <v>242.72</v>
      </c>
      <c r="K3" s="51">
        <v>261.24</v>
      </c>
      <c r="L3" s="51">
        <v>357.39</v>
      </c>
      <c r="M3" s="51">
        <v>309.46</v>
      </c>
      <c r="N3" s="51">
        <v>246.31</v>
      </c>
      <c r="O3" s="51"/>
      <c r="P3" s="51"/>
      <c r="Q3" s="51"/>
      <c r="R3" s="51"/>
      <c r="S3" s="51"/>
      <c r="T3" s="51"/>
      <c r="U3" s="51"/>
    </row>
    <row r="4" ht="15.75" customHeight="1">
      <c r="A4" s="49" t="s">
        <v>21</v>
      </c>
      <c r="B4" s="50">
        <v>396.92</v>
      </c>
      <c r="C4" s="50">
        <v>539.83</v>
      </c>
      <c r="D4" s="50">
        <v>754.79</v>
      </c>
      <c r="E4" s="50">
        <v>777.94</v>
      </c>
      <c r="F4" s="50">
        <v>1052.09</v>
      </c>
      <c r="G4" s="51">
        <v>1519.99</v>
      </c>
      <c r="H4" s="51">
        <v>1286.74</v>
      </c>
      <c r="I4" s="51">
        <v>1146.47</v>
      </c>
      <c r="J4" s="51">
        <v>961.12</v>
      </c>
      <c r="K4" s="51">
        <v>540.4</v>
      </c>
      <c r="L4" s="51">
        <v>477.03</v>
      </c>
      <c r="M4" s="51">
        <v>533.55</v>
      </c>
      <c r="N4" s="51">
        <v>529.95</v>
      </c>
      <c r="O4" s="51"/>
      <c r="P4" s="51"/>
      <c r="Q4" s="51"/>
      <c r="R4" s="51"/>
      <c r="S4" s="51"/>
      <c r="T4" s="51"/>
      <c r="U4" s="51"/>
    </row>
    <row r="5" ht="15.75" customHeight="1">
      <c r="A5" s="49" t="s">
        <v>16</v>
      </c>
      <c r="B5" s="50">
        <v>107.24</v>
      </c>
      <c r="C5" s="50">
        <v>148.14</v>
      </c>
      <c r="D5" s="50">
        <v>204.3</v>
      </c>
      <c r="E5" s="50">
        <v>226.58</v>
      </c>
      <c r="F5" s="50">
        <v>363.35</v>
      </c>
      <c r="G5" s="51">
        <v>584.1</v>
      </c>
      <c r="H5" s="51">
        <v>364.01</v>
      </c>
      <c r="I5" s="51">
        <v>336.59</v>
      </c>
      <c r="J5" s="51">
        <v>203.44</v>
      </c>
      <c r="K5" s="51">
        <v>145.49</v>
      </c>
      <c r="L5" s="51">
        <v>133.65</v>
      </c>
      <c r="M5" s="51">
        <v>145.87</v>
      </c>
      <c r="N5" s="51">
        <v>141.63</v>
      </c>
      <c r="O5" s="51"/>
      <c r="P5" s="51"/>
      <c r="Q5" s="51"/>
      <c r="R5" s="51"/>
      <c r="S5" s="51"/>
      <c r="T5" s="51"/>
      <c r="U5" s="51"/>
    </row>
    <row r="6" ht="15.75" customHeight="1">
      <c r="A6" s="49" t="s">
        <v>18</v>
      </c>
      <c r="B6" s="50">
        <v>1121.3</v>
      </c>
      <c r="C6" s="50">
        <v>1112.39</v>
      </c>
      <c r="D6" s="50">
        <v>1122.04</v>
      </c>
      <c r="E6" s="50">
        <v>1187.96</v>
      </c>
      <c r="F6" s="50">
        <v>1150.3</v>
      </c>
      <c r="G6" s="51">
        <v>1162.16</v>
      </c>
      <c r="H6" s="51">
        <v>1161.07</v>
      </c>
      <c r="I6" s="51">
        <v>1155.56</v>
      </c>
      <c r="J6" s="51">
        <v>1139.43</v>
      </c>
      <c r="K6" s="51">
        <v>1034.68</v>
      </c>
      <c r="L6" s="51">
        <v>1023.84</v>
      </c>
      <c r="M6" s="51">
        <v>1032.99</v>
      </c>
      <c r="N6" s="51">
        <v>1025.38</v>
      </c>
      <c r="O6" s="51"/>
      <c r="P6" s="51"/>
      <c r="Q6" s="51"/>
      <c r="R6" s="51"/>
      <c r="S6" s="51"/>
      <c r="T6" s="51"/>
      <c r="U6" s="5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25"/>
  </cols>
  <sheetData>
    <row r="1" ht="15.75" customHeight="1">
      <c r="A1" s="53" t="s">
        <v>4</v>
      </c>
      <c r="B1" s="47">
        <v>45717.0</v>
      </c>
      <c r="C1" s="47">
        <v>45748.0</v>
      </c>
      <c r="D1" s="47">
        <v>45778.0</v>
      </c>
      <c r="E1" s="47">
        <v>45809.0</v>
      </c>
      <c r="F1" s="47">
        <v>45839.0</v>
      </c>
      <c r="G1" s="47">
        <v>45870.0</v>
      </c>
      <c r="H1" s="47">
        <v>45901.0</v>
      </c>
      <c r="I1" s="47">
        <v>45931.0</v>
      </c>
      <c r="J1" s="47">
        <v>45962.0</v>
      </c>
      <c r="K1" s="47">
        <v>45992.0</v>
      </c>
      <c r="L1" s="47">
        <v>46023.0</v>
      </c>
      <c r="M1" s="47">
        <v>46054.0</v>
      </c>
      <c r="N1" s="47">
        <v>46082.0</v>
      </c>
      <c r="O1" s="47"/>
      <c r="P1" s="47"/>
      <c r="Q1" s="47"/>
      <c r="R1" s="47"/>
      <c r="S1" s="47"/>
      <c r="T1" s="47"/>
      <c r="U1" s="47"/>
    </row>
    <row r="2" ht="15.75" customHeight="1">
      <c r="A2" s="54" t="s">
        <v>11</v>
      </c>
      <c r="B2" s="50">
        <v>0.0</v>
      </c>
      <c r="C2" s="50">
        <v>0.0</v>
      </c>
      <c r="D2" s="51">
        <v>0.0</v>
      </c>
      <c r="E2" s="51">
        <v>0.0</v>
      </c>
      <c r="F2" s="51">
        <v>0.0</v>
      </c>
      <c r="G2" s="51">
        <v>0.0</v>
      </c>
      <c r="H2" s="51">
        <v>0.0</v>
      </c>
      <c r="I2" s="51">
        <v>0.0</v>
      </c>
      <c r="J2" s="51">
        <v>0.0</v>
      </c>
      <c r="K2" s="51">
        <v>0.0</v>
      </c>
      <c r="L2" s="51">
        <v>0.0</v>
      </c>
      <c r="M2" s="51">
        <v>0.0</v>
      </c>
      <c r="N2" s="51">
        <v>0.0</v>
      </c>
      <c r="O2" s="51"/>
      <c r="P2" s="51"/>
      <c r="Q2" s="51"/>
      <c r="R2" s="51"/>
      <c r="S2" s="51"/>
      <c r="T2" s="51"/>
      <c r="U2" s="51"/>
    </row>
    <row r="3" ht="15.75" customHeight="1">
      <c r="A3" s="54" t="s">
        <v>13</v>
      </c>
      <c r="B3" s="50">
        <v>113.73</v>
      </c>
      <c r="C3" s="50">
        <v>120.34</v>
      </c>
      <c r="D3" s="50">
        <v>138.14</v>
      </c>
      <c r="E3" s="50">
        <v>163.31</v>
      </c>
      <c r="F3" s="50">
        <v>162.78</v>
      </c>
      <c r="G3" s="51">
        <v>92.88</v>
      </c>
      <c r="H3" s="51">
        <v>202.31</v>
      </c>
      <c r="I3" s="51">
        <v>216.36</v>
      </c>
      <c r="J3" s="51">
        <v>221.24</v>
      </c>
      <c r="K3" s="51">
        <v>211.55</v>
      </c>
      <c r="L3" s="51">
        <v>88.28</v>
      </c>
      <c r="M3" s="51">
        <v>132.98</v>
      </c>
      <c r="N3" s="51">
        <v>74.88</v>
      </c>
      <c r="O3" s="51"/>
      <c r="P3" s="51"/>
      <c r="Q3" s="51"/>
      <c r="R3" s="51"/>
      <c r="S3" s="51"/>
      <c r="T3" s="51"/>
      <c r="U3" s="51"/>
    </row>
    <row r="4" ht="15.75" customHeight="1">
      <c r="A4" s="54" t="s">
        <v>21</v>
      </c>
      <c r="B4" s="50">
        <v>0.0</v>
      </c>
      <c r="C4" s="50">
        <v>186.35</v>
      </c>
      <c r="D4" s="50">
        <v>272.99</v>
      </c>
      <c r="E4" s="50">
        <v>267.24</v>
      </c>
      <c r="F4" s="50">
        <v>422.55</v>
      </c>
      <c r="G4" s="51">
        <v>537.6</v>
      </c>
      <c r="H4" s="51">
        <v>419.6</v>
      </c>
      <c r="I4" s="51">
        <v>381.77</v>
      </c>
      <c r="J4" s="51">
        <v>284.22</v>
      </c>
      <c r="K4" s="51">
        <v>163.49</v>
      </c>
      <c r="L4" s="51">
        <v>166.24</v>
      </c>
      <c r="M4" s="51">
        <v>173.91</v>
      </c>
      <c r="N4" s="51">
        <v>166.81</v>
      </c>
      <c r="O4" s="51"/>
      <c r="P4" s="51"/>
      <c r="Q4" s="51"/>
      <c r="R4" s="51"/>
      <c r="S4" s="51"/>
      <c r="T4" s="51"/>
      <c r="U4" s="51"/>
    </row>
    <row r="5" ht="15.75" customHeight="1">
      <c r="A5" s="54" t="s">
        <v>16</v>
      </c>
      <c r="B5" s="50">
        <v>0.0</v>
      </c>
      <c r="C5" s="50">
        <v>69.18</v>
      </c>
      <c r="D5" s="50">
        <v>84.9</v>
      </c>
      <c r="E5" s="50">
        <v>96.38</v>
      </c>
      <c r="F5" s="50">
        <v>145.12</v>
      </c>
      <c r="G5" s="51">
        <v>183.57</v>
      </c>
      <c r="H5" s="51">
        <v>116.91</v>
      </c>
      <c r="I5" s="51">
        <v>108.93</v>
      </c>
      <c r="J5" s="51">
        <v>78.34</v>
      </c>
      <c r="K5" s="51">
        <v>57.12</v>
      </c>
      <c r="L5" s="51">
        <v>57.18</v>
      </c>
      <c r="M5" s="51">
        <v>59.12</v>
      </c>
      <c r="N5" s="51">
        <v>59.16</v>
      </c>
      <c r="O5" s="51"/>
      <c r="P5" s="51"/>
      <c r="Q5" s="51"/>
      <c r="R5" s="51"/>
      <c r="S5" s="51"/>
      <c r="T5" s="51"/>
      <c r="U5" s="51"/>
    </row>
    <row r="6" ht="15.75" customHeight="1">
      <c r="A6" s="54" t="s">
        <v>18</v>
      </c>
      <c r="B6" s="50">
        <v>603.0</v>
      </c>
      <c r="C6" s="51">
        <v>699.28</v>
      </c>
      <c r="D6" s="50">
        <v>687.59</v>
      </c>
      <c r="E6" s="50">
        <v>666.5</v>
      </c>
      <c r="F6" s="50">
        <v>811.41</v>
      </c>
      <c r="G6" s="51">
        <v>710.05</v>
      </c>
      <c r="H6" s="51">
        <v>709.44</v>
      </c>
      <c r="I6" s="51">
        <v>706.36</v>
      </c>
      <c r="J6" s="51">
        <v>775.77</v>
      </c>
      <c r="K6" s="51">
        <v>587.18</v>
      </c>
      <c r="L6" s="51">
        <v>581.11</v>
      </c>
      <c r="M6" s="51">
        <v>586.24</v>
      </c>
      <c r="N6" s="51">
        <v>897.63</v>
      </c>
      <c r="O6" s="51"/>
      <c r="P6" s="51"/>
      <c r="Q6" s="51"/>
      <c r="R6" s="51"/>
      <c r="S6" s="51"/>
      <c r="T6" s="51"/>
      <c r="U6" s="51"/>
    </row>
    <row r="7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</row>
    <row r="8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</row>
    <row r="9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</row>
    <row r="10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88"/>
  </cols>
  <sheetData>
    <row r="1" ht="15.75" customHeight="1">
      <c r="A1" s="46" t="s">
        <v>4</v>
      </c>
      <c r="B1" s="48">
        <v>45717.0</v>
      </c>
      <c r="C1" s="47">
        <v>45748.0</v>
      </c>
      <c r="D1" s="47">
        <v>45778.0</v>
      </c>
      <c r="E1" s="47">
        <v>45809.0</v>
      </c>
      <c r="F1" s="47">
        <v>45839.0</v>
      </c>
      <c r="G1" s="47">
        <v>45870.0</v>
      </c>
      <c r="H1" s="47">
        <v>45901.0</v>
      </c>
      <c r="I1" s="47">
        <v>45931.0</v>
      </c>
      <c r="J1" s="47">
        <v>45962.0</v>
      </c>
      <c r="K1" s="47">
        <v>45992.0</v>
      </c>
      <c r="L1" s="47">
        <v>46023.0</v>
      </c>
      <c r="M1" s="47">
        <v>46054.0</v>
      </c>
      <c r="N1" s="47">
        <v>46082.0</v>
      </c>
      <c r="O1" s="47"/>
      <c r="P1" s="47"/>
      <c r="Q1" s="47"/>
      <c r="R1" s="47"/>
      <c r="S1" s="47"/>
      <c r="T1" s="47"/>
      <c r="U1" s="47"/>
    </row>
    <row r="2" ht="15.75" customHeight="1">
      <c r="A2" s="49" t="s">
        <v>11</v>
      </c>
      <c r="B2" s="51">
        <v>1875.31</v>
      </c>
      <c r="C2" s="51">
        <v>2727.87</v>
      </c>
      <c r="D2" s="51">
        <v>2486.98</v>
      </c>
      <c r="E2" s="51">
        <v>2385.73</v>
      </c>
      <c r="F2" s="51">
        <v>2265.25</v>
      </c>
      <c r="G2" s="51">
        <v>2698.47</v>
      </c>
      <c r="H2" s="51">
        <v>2589.67</v>
      </c>
      <c r="I2" s="51">
        <v>2590.8</v>
      </c>
      <c r="J2" s="51">
        <v>2520.0</v>
      </c>
      <c r="K2" s="51">
        <v>2537.25</v>
      </c>
      <c r="L2" s="51">
        <v>2675.38</v>
      </c>
      <c r="M2" s="51">
        <v>2555.31</v>
      </c>
      <c r="N2" s="51">
        <v>2507.5</v>
      </c>
      <c r="O2" s="51"/>
      <c r="P2" s="51"/>
      <c r="Q2" s="51"/>
      <c r="R2" s="51"/>
      <c r="S2" s="51"/>
      <c r="T2" s="51"/>
      <c r="U2" s="51"/>
    </row>
    <row r="3" ht="15.75" customHeight="1">
      <c r="A3" s="49" t="s">
        <v>13</v>
      </c>
      <c r="B3" s="51">
        <v>304.86</v>
      </c>
      <c r="C3" s="45">
        <v>423.0276923076923</v>
      </c>
      <c r="D3" s="51">
        <v>410.5</v>
      </c>
      <c r="E3" s="51">
        <v>413.92</v>
      </c>
      <c r="F3" s="51">
        <v>416.5</v>
      </c>
      <c r="G3" s="51">
        <v>489.14</v>
      </c>
      <c r="H3" s="51">
        <v>448.1</v>
      </c>
      <c r="I3" s="51">
        <v>482.02</v>
      </c>
      <c r="J3" s="51">
        <v>433.78</v>
      </c>
      <c r="K3" s="51">
        <v>441.99</v>
      </c>
      <c r="L3" s="51">
        <v>473.74</v>
      </c>
      <c r="M3" s="51">
        <v>441.16</v>
      </c>
      <c r="N3" s="51">
        <v>437.4</v>
      </c>
      <c r="O3" s="51"/>
      <c r="P3" s="51"/>
      <c r="Q3" s="51"/>
      <c r="R3" s="51"/>
      <c r="S3" s="51"/>
      <c r="T3" s="51"/>
      <c r="U3" s="51"/>
    </row>
    <row r="4" ht="15.75" customHeight="1">
      <c r="A4" s="49" t="s">
        <v>21</v>
      </c>
      <c r="B4" s="51">
        <v>865.17</v>
      </c>
      <c r="C4" s="45">
        <v>880.1299999999999</v>
      </c>
      <c r="D4" s="51">
        <v>753.62</v>
      </c>
      <c r="E4" s="51">
        <v>871.15</v>
      </c>
      <c r="F4" s="51">
        <v>818.17</v>
      </c>
      <c r="G4" s="51">
        <v>984.44</v>
      </c>
      <c r="H4" s="51">
        <v>1041.56</v>
      </c>
      <c r="I4" s="51">
        <v>842.17</v>
      </c>
      <c r="J4" s="51">
        <v>884.03</v>
      </c>
      <c r="K4" s="51">
        <v>756.16</v>
      </c>
      <c r="L4" s="51">
        <v>825.55</v>
      </c>
      <c r="M4" s="51">
        <v>1053.96</v>
      </c>
      <c r="N4" s="51">
        <v>1081.34</v>
      </c>
      <c r="O4" s="51"/>
      <c r="P4" s="51"/>
      <c r="Q4" s="51"/>
      <c r="R4" s="51"/>
      <c r="S4" s="51"/>
      <c r="T4" s="51"/>
      <c r="U4" s="51"/>
    </row>
    <row r="5" ht="15.75" customHeight="1">
      <c r="A5" s="49" t="s">
        <v>16</v>
      </c>
      <c r="B5" s="51">
        <v>1117.54</v>
      </c>
      <c r="C5" s="45">
        <v>1658.78270740867</v>
      </c>
      <c r="D5" s="51">
        <v>2290.93</v>
      </c>
      <c r="E5" s="51">
        <v>2376.58</v>
      </c>
      <c r="F5" s="51">
        <v>2598.07</v>
      </c>
      <c r="G5" s="51">
        <v>3348.51</v>
      </c>
      <c r="H5" s="51">
        <v>3381.02</v>
      </c>
      <c r="I5" s="51">
        <v>2115.69</v>
      </c>
      <c r="J5" s="51">
        <v>1699.61</v>
      </c>
      <c r="K5" s="51">
        <v>1207.9</v>
      </c>
      <c r="L5" s="51">
        <v>765.0</v>
      </c>
      <c r="M5" s="51">
        <v>925.98</v>
      </c>
      <c r="N5" s="51">
        <v>1044.68</v>
      </c>
      <c r="O5" s="51"/>
      <c r="P5" s="51"/>
      <c r="Q5" s="51"/>
      <c r="R5" s="51"/>
      <c r="S5" s="51"/>
      <c r="T5" s="51"/>
      <c r="U5" s="51"/>
    </row>
    <row r="6" ht="15.75" customHeight="1">
      <c r="A6" s="49" t="s">
        <v>18</v>
      </c>
      <c r="B6" s="51">
        <v>1832.72</v>
      </c>
      <c r="C6" s="45">
        <v>1837.68</v>
      </c>
      <c r="D6" s="51">
        <v>1817.08</v>
      </c>
      <c r="E6" s="51">
        <v>1477.02</v>
      </c>
      <c r="F6" s="51">
        <v>1770.83</v>
      </c>
      <c r="G6" s="51">
        <v>1819.6</v>
      </c>
      <c r="H6" s="51">
        <v>1948.17</v>
      </c>
      <c r="I6" s="51">
        <v>1886.31</v>
      </c>
      <c r="J6" s="51">
        <v>1945.8</v>
      </c>
      <c r="K6" s="51">
        <v>1525.2</v>
      </c>
      <c r="L6" s="51">
        <v>1955.27</v>
      </c>
      <c r="M6" s="51">
        <v>2055.59</v>
      </c>
      <c r="N6" s="51">
        <v>1979.22</v>
      </c>
      <c r="O6" s="51"/>
      <c r="P6" s="51"/>
      <c r="Q6" s="51"/>
      <c r="R6" s="51"/>
      <c r="S6" s="51"/>
      <c r="T6" s="51"/>
      <c r="U6" s="51"/>
    </row>
    <row r="7" ht="15.75" customHeight="1">
      <c r="A7" s="56"/>
    </row>
    <row r="8" ht="15.75" customHeight="1">
      <c r="A8" s="56"/>
    </row>
    <row r="9" ht="15.75" customHeight="1">
      <c r="A9" s="56"/>
    </row>
    <row r="10" ht="15.75" customHeight="1">
      <c r="A10" s="56"/>
    </row>
    <row r="11" ht="15.75" customHeight="1">
      <c r="A11" s="56"/>
    </row>
    <row r="12" ht="15.75" customHeight="1">
      <c r="A12" s="56"/>
    </row>
    <row r="13" ht="15.75" customHeight="1">
      <c r="A13" s="56"/>
    </row>
    <row r="14" ht="15.75" customHeight="1">
      <c r="A14" s="56"/>
    </row>
    <row r="15" ht="15.75" customHeight="1">
      <c r="A15" s="56"/>
    </row>
    <row r="16" ht="15.75" customHeight="1">
      <c r="A16" s="56"/>
    </row>
    <row r="17" ht="15.75" customHeight="1">
      <c r="A17" s="56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88"/>
  </cols>
  <sheetData>
    <row r="1" ht="15.75" customHeight="1">
      <c r="A1" s="46" t="s">
        <v>4</v>
      </c>
      <c r="B1" s="48">
        <v>45717.0</v>
      </c>
      <c r="C1" s="47">
        <v>45748.0</v>
      </c>
      <c r="D1" s="47">
        <v>45778.0</v>
      </c>
      <c r="E1" s="47">
        <v>45809.0</v>
      </c>
      <c r="F1" s="47">
        <v>45839.0</v>
      </c>
      <c r="G1" s="47">
        <v>45870.0</v>
      </c>
      <c r="H1" s="47">
        <v>45901.0</v>
      </c>
      <c r="I1" s="47">
        <v>45931.0</v>
      </c>
      <c r="J1" s="47">
        <v>45962.0</v>
      </c>
      <c r="K1" s="47">
        <v>45992.0</v>
      </c>
      <c r="L1" s="47">
        <v>46023.0</v>
      </c>
      <c r="M1" s="47">
        <v>46054.0</v>
      </c>
      <c r="N1" s="47">
        <v>46082.0</v>
      </c>
      <c r="O1" s="47"/>
      <c r="P1" s="47"/>
      <c r="Q1" s="47"/>
      <c r="R1" s="47"/>
      <c r="S1" s="47"/>
      <c r="T1" s="47"/>
      <c r="U1" s="47"/>
      <c r="V1" s="47"/>
    </row>
    <row r="2" ht="15.75" customHeight="1">
      <c r="A2" s="49" t="s">
        <v>11</v>
      </c>
      <c r="B2" s="51">
        <v>59.5</v>
      </c>
      <c r="C2" s="45">
        <v>59.5</v>
      </c>
      <c r="D2" s="51">
        <v>63.75</v>
      </c>
      <c r="E2" s="51">
        <v>51.0</v>
      </c>
      <c r="F2" s="51">
        <v>42.5</v>
      </c>
      <c r="G2" s="51">
        <v>42.5</v>
      </c>
      <c r="H2" s="45">
        <v>46.75</v>
      </c>
      <c r="I2" s="51">
        <v>42.5</v>
      </c>
      <c r="J2" s="51">
        <v>51.0</v>
      </c>
      <c r="K2" s="51">
        <v>42.5</v>
      </c>
      <c r="L2" s="51">
        <v>55.25</v>
      </c>
      <c r="M2" s="51">
        <v>59.5</v>
      </c>
      <c r="N2" s="51">
        <v>63.75</v>
      </c>
      <c r="O2" s="51"/>
      <c r="P2" s="51"/>
      <c r="Q2" s="51"/>
      <c r="R2" s="51"/>
      <c r="S2" s="51"/>
      <c r="T2" s="51"/>
      <c r="U2" s="51"/>
      <c r="V2" s="51"/>
    </row>
    <row r="3" ht="15.75" customHeight="1">
      <c r="A3" s="49" t="s">
        <v>13</v>
      </c>
      <c r="B3" s="51">
        <v>269.23</v>
      </c>
      <c r="C3" s="45">
        <v>309.32</v>
      </c>
      <c r="D3" s="51">
        <v>314.26</v>
      </c>
      <c r="E3" s="51">
        <v>334.88</v>
      </c>
      <c r="F3" s="51">
        <v>325.57</v>
      </c>
      <c r="G3" s="51">
        <v>331.46</v>
      </c>
      <c r="H3" s="45">
        <v>350.46</v>
      </c>
      <c r="I3" s="51">
        <v>312.08</v>
      </c>
      <c r="J3" s="51">
        <v>309.23</v>
      </c>
      <c r="K3" s="51">
        <v>283.1</v>
      </c>
      <c r="L3" s="51">
        <v>300.3</v>
      </c>
      <c r="M3" s="51">
        <v>288.8</v>
      </c>
      <c r="N3" s="51">
        <v>295.17</v>
      </c>
      <c r="O3" s="51"/>
      <c r="P3" s="51"/>
      <c r="Q3" s="51"/>
      <c r="R3" s="51"/>
      <c r="S3" s="51"/>
      <c r="T3" s="51"/>
      <c r="U3" s="51"/>
      <c r="V3" s="51"/>
    </row>
    <row r="4" ht="15.75" customHeight="1">
      <c r="A4" s="49" t="s">
        <v>21</v>
      </c>
      <c r="B4" s="51">
        <v>222.47</v>
      </c>
      <c r="C4" s="45">
        <v>247.49</v>
      </c>
      <c r="D4" s="51">
        <v>187.24</v>
      </c>
      <c r="E4" s="51">
        <v>223.89</v>
      </c>
      <c r="F4" s="51">
        <v>200.86</v>
      </c>
      <c r="G4" s="51">
        <v>239.69</v>
      </c>
      <c r="H4" s="45">
        <v>256.29</v>
      </c>
      <c r="I4" s="51">
        <v>214.21</v>
      </c>
      <c r="J4" s="51">
        <v>219.64</v>
      </c>
      <c r="K4" s="51">
        <v>187.85</v>
      </c>
      <c r="L4" s="51">
        <v>205.11</v>
      </c>
      <c r="M4" s="51">
        <v>261.86</v>
      </c>
      <c r="N4" s="51">
        <v>278.76</v>
      </c>
      <c r="O4" s="51"/>
      <c r="P4" s="51"/>
      <c r="Q4" s="51"/>
      <c r="R4" s="51"/>
      <c r="S4" s="51"/>
      <c r="T4" s="51"/>
      <c r="U4" s="51"/>
      <c r="V4" s="51"/>
    </row>
    <row r="5" ht="15.75" customHeight="1">
      <c r="A5" s="49" t="s">
        <v>16</v>
      </c>
      <c r="B5" s="51">
        <v>280.78</v>
      </c>
      <c r="C5" s="45">
        <v>396.87</v>
      </c>
      <c r="D5" s="51">
        <v>337.47</v>
      </c>
      <c r="E5" s="51">
        <v>351.4</v>
      </c>
      <c r="F5" s="51">
        <v>400.48</v>
      </c>
      <c r="G5" s="51">
        <v>490.08</v>
      </c>
      <c r="H5" s="45">
        <v>938.56</v>
      </c>
      <c r="I5" s="51">
        <v>349.34</v>
      </c>
      <c r="J5" s="51">
        <v>295.76</v>
      </c>
      <c r="K5" s="51">
        <v>202.73</v>
      </c>
      <c r="L5" s="51">
        <v>130.36</v>
      </c>
      <c r="M5" s="51">
        <v>154.52</v>
      </c>
      <c r="N5" s="51">
        <v>175.33</v>
      </c>
      <c r="O5" s="51"/>
      <c r="P5" s="51"/>
      <c r="Q5" s="51"/>
      <c r="R5" s="51"/>
      <c r="S5" s="51"/>
      <c r="T5" s="51"/>
      <c r="U5" s="51"/>
      <c r="V5" s="51"/>
    </row>
    <row r="6" ht="15.75" customHeight="1">
      <c r="A6" s="49" t="s">
        <v>18</v>
      </c>
      <c r="B6" s="51">
        <v>1235.35</v>
      </c>
      <c r="C6" s="45">
        <v>1245.38</v>
      </c>
      <c r="D6" s="51">
        <v>1233.43</v>
      </c>
      <c r="E6" s="51">
        <v>1192.6</v>
      </c>
      <c r="F6" s="51">
        <v>1205.74</v>
      </c>
      <c r="G6" s="51">
        <v>1235.88</v>
      </c>
      <c r="H6" s="45">
        <f>(1984.93+264.09)-938.56</f>
        <v>1310.46</v>
      </c>
      <c r="I6" s="51">
        <v>1273.58</v>
      </c>
      <c r="J6" s="51">
        <v>1278.08</v>
      </c>
      <c r="K6" s="51">
        <v>1275.23</v>
      </c>
      <c r="L6" s="51">
        <v>1313.58</v>
      </c>
      <c r="M6" s="51">
        <v>1071.76</v>
      </c>
      <c r="N6" s="51">
        <v>1327.47</v>
      </c>
      <c r="O6" s="51"/>
      <c r="P6" s="51"/>
      <c r="Q6" s="51"/>
      <c r="R6" s="51"/>
      <c r="S6" s="51"/>
      <c r="T6" s="51"/>
      <c r="U6" s="51"/>
      <c r="V6" s="51"/>
    </row>
    <row r="7" ht="15.75" customHeight="1">
      <c r="A7" s="56"/>
    </row>
    <row r="8" ht="15.75" customHeight="1">
      <c r="A8" s="56"/>
    </row>
    <row r="9" ht="15.75" customHeight="1">
      <c r="A9" s="56"/>
    </row>
    <row r="10" ht="15.75" customHeight="1">
      <c r="A10" s="56"/>
    </row>
    <row r="11" ht="15.75" customHeight="1">
      <c r="A11" s="56"/>
    </row>
    <row r="12" ht="15.75" customHeight="1">
      <c r="A12" s="56"/>
    </row>
    <row r="13" ht="15.75" customHeight="1">
      <c r="A13" s="56"/>
    </row>
    <row r="14" ht="15.75" customHeight="1">
      <c r="A14" s="56"/>
    </row>
    <row r="15" ht="15.75" customHeight="1">
      <c r="A15" s="56"/>
    </row>
    <row r="16" ht="15.75" customHeight="1">
      <c r="A16" s="56"/>
    </row>
    <row r="17" ht="15.75" customHeight="1">
      <c r="A17" s="56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88"/>
  </cols>
  <sheetData>
    <row r="1" ht="15.75" customHeight="1">
      <c r="A1" s="46" t="s">
        <v>4</v>
      </c>
      <c r="B1" s="47">
        <v>45717.0</v>
      </c>
      <c r="C1" s="47">
        <v>45748.0</v>
      </c>
      <c r="D1" s="57">
        <v>45778.0</v>
      </c>
      <c r="E1" s="47">
        <v>45809.0</v>
      </c>
      <c r="F1" s="47">
        <v>45839.0</v>
      </c>
      <c r="G1" s="57">
        <v>45870.0</v>
      </c>
      <c r="H1" s="47">
        <v>45901.0</v>
      </c>
      <c r="I1" s="47">
        <v>45931.0</v>
      </c>
      <c r="J1" s="57">
        <v>45962.0</v>
      </c>
      <c r="K1" s="57">
        <v>45992.0</v>
      </c>
      <c r="L1" s="47">
        <v>46023.0</v>
      </c>
      <c r="M1" s="47">
        <v>46054.0</v>
      </c>
      <c r="N1" s="57">
        <v>46082.0</v>
      </c>
      <c r="O1" s="47"/>
      <c r="P1" s="47"/>
      <c r="Q1" s="47"/>
      <c r="R1" s="47"/>
      <c r="S1" s="47"/>
      <c r="T1" s="47"/>
      <c r="U1" s="47"/>
    </row>
    <row r="2" ht="15.75" customHeight="1">
      <c r="A2" s="49" t="s">
        <v>11</v>
      </c>
      <c r="B2" s="51">
        <v>1143.79</v>
      </c>
      <c r="C2" s="51">
        <v>1484.84</v>
      </c>
      <c r="D2" s="51">
        <v>1162.62</v>
      </c>
      <c r="E2" s="51">
        <v>1052.58</v>
      </c>
      <c r="F2" s="51">
        <v>956.56</v>
      </c>
      <c r="G2" s="51">
        <v>1037.56</v>
      </c>
      <c r="H2" s="51">
        <v>1086.41</v>
      </c>
      <c r="I2" s="51">
        <v>1191.0</v>
      </c>
      <c r="J2" s="51">
        <v>1132.86</v>
      </c>
      <c r="K2" s="51">
        <v>1121.09</v>
      </c>
      <c r="L2" s="51">
        <v>1171.24</v>
      </c>
      <c r="M2" s="51">
        <v>1185.03</v>
      </c>
      <c r="N2" s="51">
        <v>878.01</v>
      </c>
      <c r="O2" s="51"/>
      <c r="P2" s="51"/>
      <c r="Q2" s="51"/>
      <c r="R2" s="51"/>
      <c r="S2" s="51"/>
      <c r="T2" s="51"/>
      <c r="U2" s="51"/>
    </row>
    <row r="3" ht="15.75" customHeight="1">
      <c r="A3" s="49" t="s">
        <v>13</v>
      </c>
      <c r="B3" s="51">
        <v>293.73</v>
      </c>
      <c r="C3" s="51">
        <v>364.65</v>
      </c>
      <c r="D3" s="51">
        <v>304.05</v>
      </c>
      <c r="E3" s="51">
        <v>301.16</v>
      </c>
      <c r="F3" s="51">
        <v>286.38</v>
      </c>
      <c r="G3" s="51">
        <v>329.43</v>
      </c>
      <c r="H3" s="51">
        <v>360.39</v>
      </c>
      <c r="I3" s="51">
        <v>316.04</v>
      </c>
      <c r="J3" s="51">
        <v>358.2</v>
      </c>
      <c r="K3" s="51">
        <v>379.26</v>
      </c>
      <c r="L3" s="51">
        <v>391.54</v>
      </c>
      <c r="M3" s="51">
        <v>383.61</v>
      </c>
      <c r="N3" s="51">
        <v>346.75</v>
      </c>
      <c r="O3" s="51"/>
      <c r="P3" s="51"/>
      <c r="Q3" s="51"/>
      <c r="R3" s="51"/>
      <c r="S3" s="51"/>
      <c r="T3" s="51"/>
      <c r="U3" s="51"/>
    </row>
    <row r="4" ht="15.75" customHeight="1">
      <c r="A4" s="49" t="s">
        <v>21</v>
      </c>
      <c r="B4" s="51">
        <v>567.55</v>
      </c>
      <c r="C4" s="51">
        <v>943.87</v>
      </c>
      <c r="D4" s="51">
        <v>1204.96</v>
      </c>
      <c r="E4" s="51">
        <v>1637.62</v>
      </c>
      <c r="F4" s="51">
        <v>1780.88</v>
      </c>
      <c r="G4" s="51">
        <v>2177.46</v>
      </c>
      <c r="H4" s="51">
        <v>2077.52</v>
      </c>
      <c r="I4" s="51">
        <v>1790.49</v>
      </c>
      <c r="J4" s="51">
        <v>1039.18</v>
      </c>
      <c r="K4" s="51">
        <v>795.83</v>
      </c>
      <c r="L4" s="51">
        <v>595.22</v>
      </c>
      <c r="M4" s="51">
        <v>686.74</v>
      </c>
      <c r="N4" s="51">
        <v>721.44</v>
      </c>
      <c r="O4" s="51"/>
      <c r="P4" s="51"/>
      <c r="Q4" s="51"/>
      <c r="R4" s="51"/>
      <c r="S4" s="51"/>
      <c r="T4" s="51"/>
      <c r="U4" s="51"/>
    </row>
    <row r="5" ht="15.75" customHeight="1">
      <c r="A5" s="49" t="s">
        <v>16</v>
      </c>
      <c r="B5" s="51">
        <v>220.91</v>
      </c>
      <c r="C5" s="51">
        <v>372.29</v>
      </c>
      <c r="D5" s="51">
        <v>481.8</v>
      </c>
      <c r="E5" s="51">
        <v>693.36</v>
      </c>
      <c r="F5" s="51">
        <v>701.08</v>
      </c>
      <c r="G5" s="51">
        <v>887.17</v>
      </c>
      <c r="H5" s="51">
        <v>822.66</v>
      </c>
      <c r="I5" s="51">
        <v>713.79</v>
      </c>
      <c r="J5" s="51">
        <v>422.87</v>
      </c>
      <c r="K5" s="51">
        <v>314.2</v>
      </c>
      <c r="L5" s="51">
        <v>237.19</v>
      </c>
      <c r="M5" s="51">
        <v>292.92</v>
      </c>
      <c r="N5" s="51">
        <v>256.92</v>
      </c>
      <c r="O5" s="51"/>
      <c r="P5" s="51"/>
      <c r="Q5" s="51"/>
      <c r="R5" s="51"/>
      <c r="S5" s="51"/>
      <c r="T5" s="51"/>
      <c r="U5" s="51"/>
    </row>
    <row r="6" ht="15.75" customHeight="1">
      <c r="A6" s="49" t="s">
        <v>18</v>
      </c>
      <c r="B6" s="51">
        <v>1443.92</v>
      </c>
      <c r="C6" s="51">
        <v>1441.16</v>
      </c>
      <c r="D6" s="51">
        <v>1476.22</v>
      </c>
      <c r="E6" s="51">
        <v>1401.38</v>
      </c>
      <c r="F6" s="51">
        <v>1346.29</v>
      </c>
      <c r="G6" s="51">
        <v>1364.73</v>
      </c>
      <c r="H6" s="51">
        <v>1463.38</v>
      </c>
      <c r="I6" s="51">
        <v>1405.56</v>
      </c>
      <c r="J6" s="51">
        <v>1384.59</v>
      </c>
      <c r="K6" s="51">
        <v>1343.66</v>
      </c>
      <c r="L6" s="51">
        <v>1357.9</v>
      </c>
      <c r="M6" s="51">
        <v>1385.33</v>
      </c>
      <c r="N6" s="51">
        <v>1361.73</v>
      </c>
      <c r="O6" s="51"/>
      <c r="P6" s="51"/>
      <c r="Q6" s="51"/>
      <c r="R6" s="51"/>
      <c r="S6" s="51"/>
      <c r="T6" s="51"/>
      <c r="U6" s="51"/>
    </row>
    <row r="7" ht="15.75" customHeight="1">
      <c r="A7" s="56"/>
    </row>
    <row r="8" ht="15.75" customHeight="1">
      <c r="A8" s="56"/>
    </row>
    <row r="9" ht="15.75" customHeight="1">
      <c r="A9" s="56"/>
    </row>
    <row r="10" ht="15.75" customHeight="1">
      <c r="A10" s="56"/>
    </row>
    <row r="11" ht="15.75" customHeight="1">
      <c r="A11" s="56"/>
    </row>
    <row r="12" ht="15.75" customHeight="1">
      <c r="A12" s="56"/>
    </row>
    <row r="13" ht="15.75" customHeight="1">
      <c r="A13" s="56"/>
    </row>
    <row r="14" ht="15.75" customHeight="1">
      <c r="A14" s="56"/>
    </row>
    <row r="15" ht="15.75" customHeight="1">
      <c r="A15" s="56"/>
    </row>
    <row r="16" ht="15.75" customHeight="1">
      <c r="A16" s="56"/>
    </row>
    <row r="17" ht="15.75" customHeight="1">
      <c r="A17" s="56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88"/>
  </cols>
  <sheetData>
    <row r="1" ht="15.75" customHeight="1">
      <c r="A1" s="46" t="s">
        <v>4</v>
      </c>
      <c r="B1" s="57">
        <v>45992.0</v>
      </c>
      <c r="C1" s="47">
        <v>46023.0</v>
      </c>
      <c r="D1" s="47">
        <v>46054.0</v>
      </c>
      <c r="E1" s="57">
        <v>46082.0</v>
      </c>
      <c r="F1" s="47"/>
      <c r="G1" s="47"/>
    </row>
    <row r="2" ht="15.75" customHeight="1">
      <c r="A2" s="49" t="s">
        <v>11</v>
      </c>
      <c r="B2" s="51">
        <v>346.76</v>
      </c>
      <c r="C2" s="51">
        <v>390.85</v>
      </c>
      <c r="D2" s="51">
        <v>496.61</v>
      </c>
      <c r="E2" s="51">
        <v>478.14</v>
      </c>
      <c r="F2" s="51"/>
      <c r="G2" s="51"/>
    </row>
    <row r="3" ht="15.75" customHeight="1">
      <c r="A3" s="49" t="s">
        <v>13</v>
      </c>
      <c r="B3" s="51">
        <v>125.3</v>
      </c>
      <c r="C3" s="51">
        <v>169.62</v>
      </c>
      <c r="D3" s="51">
        <v>66.19</v>
      </c>
      <c r="E3" s="51">
        <v>307.92</v>
      </c>
      <c r="F3" s="51"/>
      <c r="G3" s="51"/>
    </row>
    <row r="4" ht="15.75" customHeight="1">
      <c r="A4" s="49" t="s">
        <v>21</v>
      </c>
      <c r="B4" s="51">
        <v>160.0</v>
      </c>
      <c r="C4" s="51">
        <v>135.66</v>
      </c>
      <c r="D4" s="51">
        <v>275.49</v>
      </c>
      <c r="E4" s="51">
        <v>290.01</v>
      </c>
      <c r="F4" s="51"/>
      <c r="G4" s="51"/>
    </row>
    <row r="5" ht="15.75" customHeight="1">
      <c r="A5" s="49" t="s">
        <v>16</v>
      </c>
      <c r="B5" s="51">
        <v>100.56</v>
      </c>
      <c r="C5" s="51">
        <v>63.79</v>
      </c>
      <c r="D5" s="51">
        <v>96.47</v>
      </c>
      <c r="E5" s="51">
        <v>109.2</v>
      </c>
      <c r="F5" s="51"/>
      <c r="G5" s="51"/>
    </row>
    <row r="6" ht="15.75" customHeight="1">
      <c r="A6" s="49" t="s">
        <v>18</v>
      </c>
      <c r="B6" s="51">
        <v>1651.4</v>
      </c>
      <c r="C6" s="51">
        <v>1490.5</v>
      </c>
      <c r="D6" s="51">
        <v>1371.35</v>
      </c>
      <c r="E6" s="51">
        <v>1347.09</v>
      </c>
      <c r="F6" s="51"/>
      <c r="G6" s="51"/>
    </row>
    <row r="7" ht="15.75" customHeight="1">
      <c r="A7" s="56"/>
    </row>
    <row r="8" ht="15.75" customHeight="1">
      <c r="A8" s="56"/>
    </row>
    <row r="9" ht="15.75" customHeight="1">
      <c r="A9" s="56"/>
    </row>
    <row r="10" ht="15.75" customHeight="1">
      <c r="A10" s="56"/>
    </row>
    <row r="11" ht="15.75" customHeight="1">
      <c r="A11" s="56"/>
    </row>
    <row r="12" ht="15.75" customHeight="1">
      <c r="A12" s="56"/>
    </row>
    <row r="13" ht="15.75" customHeight="1">
      <c r="A13" s="56"/>
    </row>
    <row r="14" ht="15.75" customHeight="1">
      <c r="A14" s="56"/>
    </row>
    <row r="15" ht="15.75" customHeight="1">
      <c r="A15" s="56"/>
    </row>
    <row r="16" ht="15.75" customHeight="1">
      <c r="A16" s="56"/>
    </row>
    <row r="17" ht="15.75" customHeight="1">
      <c r="A17" s="56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88"/>
  </cols>
  <sheetData>
    <row r="1" ht="15.75" customHeight="1">
      <c r="A1" s="46" t="s">
        <v>4</v>
      </c>
      <c r="B1" s="47">
        <v>46023.0</v>
      </c>
      <c r="C1" s="47">
        <v>46054.0</v>
      </c>
      <c r="D1" s="47">
        <v>46082.0</v>
      </c>
      <c r="E1" s="57"/>
      <c r="F1" s="47"/>
      <c r="G1" s="47"/>
      <c r="H1" s="57"/>
      <c r="I1" s="47"/>
      <c r="J1" s="47"/>
      <c r="K1" s="57"/>
      <c r="L1" s="57"/>
    </row>
    <row r="2" ht="15.75" customHeight="1">
      <c r="A2" s="49" t="s">
        <v>11</v>
      </c>
      <c r="B2" s="51">
        <v>199.6</v>
      </c>
      <c r="C2" s="51">
        <v>1137.33</v>
      </c>
      <c r="D2" s="51">
        <v>1350.27</v>
      </c>
      <c r="E2" s="51"/>
      <c r="F2" s="51"/>
      <c r="G2" s="51"/>
      <c r="H2" s="51"/>
      <c r="I2" s="51"/>
      <c r="J2" s="51"/>
      <c r="K2" s="51"/>
      <c r="L2" s="51"/>
    </row>
    <row r="3" ht="15.75" customHeight="1">
      <c r="A3" s="49" t="s">
        <v>13</v>
      </c>
      <c r="B3" s="51">
        <v>118.86</v>
      </c>
      <c r="C3" s="51">
        <v>447.58</v>
      </c>
      <c r="D3" s="51">
        <v>397.02</v>
      </c>
      <c r="E3" s="51"/>
      <c r="F3" s="51"/>
      <c r="G3" s="51"/>
      <c r="H3" s="51"/>
      <c r="I3" s="51"/>
      <c r="J3" s="51"/>
      <c r="K3" s="51"/>
      <c r="L3" s="51"/>
    </row>
    <row r="4" ht="15.75" customHeight="1">
      <c r="A4" s="49" t="s">
        <v>21</v>
      </c>
      <c r="B4" s="51">
        <v>106.99</v>
      </c>
      <c r="C4" s="51">
        <v>324.16</v>
      </c>
      <c r="D4" s="51">
        <v>621.02</v>
      </c>
      <c r="E4" s="51"/>
      <c r="F4" s="51"/>
      <c r="G4" s="51"/>
      <c r="H4" s="51"/>
      <c r="I4" s="51"/>
      <c r="J4" s="51"/>
      <c r="K4" s="51"/>
      <c r="L4" s="51"/>
    </row>
    <row r="5" ht="15.75" customHeight="1">
      <c r="A5" s="49" t="s">
        <v>16</v>
      </c>
      <c r="B5" s="51">
        <v>105.46</v>
      </c>
      <c r="C5" s="51">
        <v>161.8</v>
      </c>
      <c r="D5" s="51">
        <v>237.33</v>
      </c>
      <c r="E5" s="51"/>
      <c r="F5" s="51"/>
      <c r="G5" s="51"/>
      <c r="H5" s="51"/>
      <c r="I5" s="51"/>
      <c r="J5" s="51"/>
      <c r="K5" s="51"/>
      <c r="L5" s="51"/>
    </row>
    <row r="6" ht="15.75" customHeight="1">
      <c r="A6" s="49" t="s">
        <v>18</v>
      </c>
      <c r="B6" s="51">
        <v>1718.21</v>
      </c>
      <c r="C6" s="51">
        <v>1472.23</v>
      </c>
      <c r="D6" s="51">
        <v>1407.0</v>
      </c>
      <c r="E6" s="51"/>
      <c r="F6" s="51"/>
      <c r="G6" s="51"/>
      <c r="H6" s="51"/>
      <c r="I6" s="51"/>
      <c r="J6" s="51"/>
      <c r="K6" s="51"/>
      <c r="L6" s="51"/>
    </row>
    <row r="7" ht="15.75" customHeight="1">
      <c r="A7" s="56"/>
    </row>
    <row r="8" ht="15.75" customHeight="1">
      <c r="A8" s="56"/>
    </row>
    <row r="9" ht="15.75" customHeight="1">
      <c r="A9" s="56"/>
    </row>
    <row r="10" ht="15.75" customHeight="1">
      <c r="A10" s="56"/>
    </row>
    <row r="11" ht="15.75" customHeight="1">
      <c r="A11" s="56"/>
    </row>
    <row r="12" ht="15.75" customHeight="1">
      <c r="A12" s="56"/>
    </row>
    <row r="13" ht="15.75" customHeight="1">
      <c r="A13" s="56"/>
    </row>
    <row r="14" ht="15.75" customHeight="1">
      <c r="A14" s="56"/>
    </row>
    <row r="15" ht="15.75" customHeight="1">
      <c r="A15" s="56"/>
    </row>
    <row r="16" ht="15.75" customHeight="1">
      <c r="A16" s="56"/>
    </row>
    <row r="17" ht="15.75" customHeight="1">
      <c r="A17" s="56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25"/>
  </cols>
  <sheetData>
    <row r="1" ht="15.75" customHeight="1">
      <c r="A1" s="46" t="s">
        <v>4</v>
      </c>
      <c r="B1" s="47">
        <v>45717.0</v>
      </c>
      <c r="C1" s="47">
        <v>45748.0</v>
      </c>
      <c r="D1" s="57">
        <v>45778.0</v>
      </c>
      <c r="E1" s="47">
        <v>45809.0</v>
      </c>
      <c r="F1" s="47">
        <v>45839.0</v>
      </c>
      <c r="G1" s="57">
        <v>45870.0</v>
      </c>
      <c r="H1" s="47">
        <v>45901.0</v>
      </c>
      <c r="I1" s="47">
        <v>45931.0</v>
      </c>
      <c r="J1" s="57">
        <v>45962.0</v>
      </c>
      <c r="K1" s="47">
        <v>45992.0</v>
      </c>
      <c r="L1" s="47">
        <v>46023.0</v>
      </c>
      <c r="M1" s="57">
        <v>46054.0</v>
      </c>
      <c r="N1" s="47">
        <v>46082.0</v>
      </c>
      <c r="O1" s="57"/>
      <c r="P1" s="57"/>
      <c r="Q1" s="57"/>
      <c r="R1" s="57"/>
      <c r="S1" s="57"/>
      <c r="T1" s="57"/>
      <c r="U1" s="57"/>
    </row>
    <row r="2" ht="15.75" customHeight="1">
      <c r="A2" s="49" t="s">
        <v>11</v>
      </c>
      <c r="B2" s="51">
        <v>495.56</v>
      </c>
      <c r="C2" s="51">
        <v>784.87</v>
      </c>
      <c r="D2" s="51">
        <v>863.49</v>
      </c>
      <c r="E2" s="51">
        <v>1064.12</v>
      </c>
      <c r="F2" s="51">
        <v>1083.46</v>
      </c>
      <c r="G2" s="51">
        <v>756.73</v>
      </c>
      <c r="H2" s="51">
        <v>916.17</v>
      </c>
      <c r="I2" s="51">
        <v>996.4</v>
      </c>
      <c r="J2" s="51">
        <v>764.98</v>
      </c>
      <c r="K2" s="51">
        <v>712.39</v>
      </c>
      <c r="L2" s="51">
        <v>669.55</v>
      </c>
      <c r="M2" s="51">
        <v>805.92</v>
      </c>
      <c r="N2" s="51">
        <v>525.86</v>
      </c>
      <c r="O2" s="51"/>
      <c r="P2" s="51"/>
      <c r="Q2" s="51"/>
      <c r="R2" s="51"/>
      <c r="S2" s="51"/>
      <c r="T2" s="51"/>
      <c r="U2" s="51"/>
    </row>
    <row r="3" ht="15.75" customHeight="1">
      <c r="A3" s="49" t="s">
        <v>13</v>
      </c>
      <c r="B3" s="51">
        <v>290.08</v>
      </c>
      <c r="C3" s="51">
        <v>369.69</v>
      </c>
      <c r="D3" s="51">
        <v>354.16</v>
      </c>
      <c r="E3" s="51">
        <v>357.2</v>
      </c>
      <c r="F3" s="51">
        <v>370.68</v>
      </c>
      <c r="G3" s="51">
        <v>317.56</v>
      </c>
      <c r="H3" s="51">
        <v>358.65</v>
      </c>
      <c r="I3" s="51">
        <v>338.53</v>
      </c>
      <c r="J3" s="51">
        <v>297.3</v>
      </c>
      <c r="K3" s="51">
        <v>284.72</v>
      </c>
      <c r="L3" s="51">
        <v>260.4</v>
      </c>
      <c r="M3" s="51">
        <v>304.32</v>
      </c>
      <c r="N3" s="51">
        <v>324.93</v>
      </c>
      <c r="O3" s="51"/>
      <c r="P3" s="51"/>
      <c r="Q3" s="51"/>
      <c r="R3" s="51"/>
      <c r="S3" s="51"/>
      <c r="T3" s="51"/>
      <c r="U3" s="51"/>
    </row>
    <row r="4" ht="15.75" customHeight="1">
      <c r="A4" s="49" t="s">
        <v>21</v>
      </c>
      <c r="B4" s="51">
        <v>505.55</v>
      </c>
      <c r="C4" s="51">
        <v>915.33</v>
      </c>
      <c r="D4" s="51">
        <v>1330.87</v>
      </c>
      <c r="E4" s="51">
        <v>1614.02</v>
      </c>
      <c r="F4" s="51">
        <v>2512.22</v>
      </c>
      <c r="G4" s="51">
        <v>3119.14</v>
      </c>
      <c r="H4" s="51">
        <v>2516.29</v>
      </c>
      <c r="I4" s="51">
        <v>2815.1</v>
      </c>
      <c r="J4" s="51">
        <v>2028.44</v>
      </c>
      <c r="K4" s="51">
        <v>1298.95</v>
      </c>
      <c r="L4" s="51">
        <v>1267.76</v>
      </c>
      <c r="M4" s="51">
        <v>1007.56</v>
      </c>
      <c r="N4" s="51">
        <v>999.25</v>
      </c>
      <c r="O4" s="51"/>
      <c r="P4" s="51"/>
      <c r="Q4" s="51"/>
      <c r="R4" s="51"/>
      <c r="S4" s="51"/>
      <c r="T4" s="51"/>
      <c r="U4" s="51"/>
    </row>
    <row r="5" ht="15.75" customHeight="1">
      <c r="A5" s="49" t="s">
        <v>16</v>
      </c>
      <c r="B5" s="51">
        <v>882.49</v>
      </c>
      <c r="C5" s="51">
        <v>675.31</v>
      </c>
      <c r="D5" s="51">
        <v>828.13</v>
      </c>
      <c r="E5" s="51">
        <v>1078.94</v>
      </c>
      <c r="F5" s="51">
        <v>1078.06</v>
      </c>
      <c r="G5" s="51">
        <v>1343.92</v>
      </c>
      <c r="H5" s="51">
        <v>939.91</v>
      </c>
      <c r="I5" s="51">
        <v>540.1</v>
      </c>
      <c r="J5" s="51">
        <v>386.26</v>
      </c>
      <c r="K5" s="51">
        <v>325.79</v>
      </c>
      <c r="L5" s="51">
        <v>300.85</v>
      </c>
      <c r="M5" s="51">
        <v>333.18</v>
      </c>
      <c r="N5" s="51">
        <v>510.12</v>
      </c>
      <c r="O5" s="51"/>
      <c r="P5" s="51"/>
      <c r="Q5" s="51"/>
      <c r="R5" s="51"/>
      <c r="S5" s="51"/>
      <c r="T5" s="51"/>
      <c r="U5" s="51"/>
    </row>
    <row r="6" ht="15.75" customHeight="1">
      <c r="A6" s="49" t="s">
        <v>18</v>
      </c>
      <c r="B6" s="51">
        <v>1391.51</v>
      </c>
      <c r="C6" s="51">
        <v>1432.15</v>
      </c>
      <c r="D6" s="51">
        <v>1465.29</v>
      </c>
      <c r="E6" s="51">
        <v>1317.99</v>
      </c>
      <c r="F6" s="51">
        <v>1393.84</v>
      </c>
      <c r="G6" s="51">
        <v>1384.01</v>
      </c>
      <c r="H6" s="51">
        <v>1340.24</v>
      </c>
      <c r="I6" s="51">
        <v>1349.49</v>
      </c>
      <c r="J6" s="51">
        <v>1492.8</v>
      </c>
      <c r="K6" s="51">
        <v>1484.41</v>
      </c>
      <c r="L6" s="51">
        <v>1364.65</v>
      </c>
      <c r="M6" s="51">
        <v>1336.17</v>
      </c>
      <c r="N6" s="51">
        <v>1414.66</v>
      </c>
      <c r="O6" s="51"/>
      <c r="P6" s="51"/>
      <c r="Q6" s="51"/>
      <c r="R6" s="51"/>
      <c r="S6" s="51"/>
      <c r="T6" s="51"/>
      <c r="U6" s="51"/>
    </row>
    <row r="7" ht="15.75" customHeight="1">
      <c r="A7" s="56"/>
    </row>
    <row r="8" ht="15.75" customHeight="1">
      <c r="A8" s="56"/>
    </row>
    <row r="9" ht="15.75" customHeight="1">
      <c r="A9" s="56"/>
    </row>
    <row r="10" ht="15.75" customHeight="1">
      <c r="A10" s="56"/>
    </row>
    <row r="11" ht="15.75" customHeight="1">
      <c r="A11" s="56"/>
    </row>
    <row r="12" ht="15.75" customHeight="1">
      <c r="A12" s="56"/>
    </row>
    <row r="13" ht="15.75" customHeight="1">
      <c r="A13" s="56"/>
    </row>
    <row r="14" ht="15.75" customHeight="1">
      <c r="A14" s="56"/>
    </row>
    <row r="15" ht="15.75" customHeight="1">
      <c r="A15" s="56"/>
    </row>
    <row r="16" ht="15.75" customHeight="1">
      <c r="A16" s="56"/>
    </row>
    <row r="17" ht="15.75" customHeight="1">
      <c r="A17" s="56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25"/>
  </cols>
  <sheetData>
    <row r="1" ht="15.75" customHeight="1">
      <c r="A1" s="46" t="s">
        <v>4</v>
      </c>
      <c r="B1" s="47">
        <v>45931.0</v>
      </c>
      <c r="C1" s="48">
        <v>45962.0</v>
      </c>
      <c r="D1" s="47">
        <v>45992.0</v>
      </c>
      <c r="E1" s="48">
        <v>46023.0</v>
      </c>
      <c r="F1" s="47">
        <v>46054.0</v>
      </c>
      <c r="G1" s="47">
        <v>46082.0</v>
      </c>
      <c r="H1" s="47"/>
      <c r="I1" s="47"/>
      <c r="J1" s="47"/>
      <c r="K1" s="47"/>
    </row>
    <row r="2" ht="15.75" customHeight="1">
      <c r="A2" s="49" t="s">
        <v>11</v>
      </c>
      <c r="B2" s="51">
        <v>754.34</v>
      </c>
      <c r="C2" s="51">
        <v>903.24</v>
      </c>
      <c r="D2" s="51">
        <v>690.3</v>
      </c>
      <c r="E2" s="51">
        <v>729.33</v>
      </c>
      <c r="F2" s="51">
        <v>726.0</v>
      </c>
      <c r="G2" s="51">
        <v>605.88</v>
      </c>
      <c r="H2" s="51"/>
      <c r="I2" s="51"/>
      <c r="J2" s="51"/>
      <c r="K2" s="51"/>
    </row>
    <row r="3" ht="15.75" customHeight="1">
      <c r="A3" s="49" t="s">
        <v>13</v>
      </c>
      <c r="B3" s="51">
        <v>324.03</v>
      </c>
      <c r="C3" s="51">
        <v>348.98</v>
      </c>
      <c r="D3" s="51">
        <v>362.24</v>
      </c>
      <c r="E3" s="51">
        <v>301.05</v>
      </c>
      <c r="F3" s="51">
        <v>299.44</v>
      </c>
      <c r="G3" s="51">
        <v>262.99</v>
      </c>
      <c r="H3" s="51"/>
      <c r="I3" s="51"/>
      <c r="J3" s="51"/>
      <c r="K3" s="51"/>
    </row>
    <row r="4" ht="15.75" customHeight="1">
      <c r="A4" s="49" t="s">
        <v>21</v>
      </c>
      <c r="B4" s="51">
        <v>390.89</v>
      </c>
      <c r="C4" s="51">
        <v>377.93</v>
      </c>
      <c r="D4" s="51">
        <v>205.0</v>
      </c>
      <c r="E4" s="51">
        <v>726.51</v>
      </c>
      <c r="F4" s="51">
        <v>813.42</v>
      </c>
      <c r="G4" s="51">
        <v>948.23</v>
      </c>
      <c r="H4" s="51"/>
      <c r="I4" s="51"/>
      <c r="J4" s="51"/>
      <c r="K4" s="51"/>
    </row>
    <row r="5" ht="15.75" customHeight="1">
      <c r="A5" s="49" t="s">
        <v>16</v>
      </c>
      <c r="B5" s="51">
        <v>248.83</v>
      </c>
      <c r="C5" s="51">
        <v>128.8</v>
      </c>
      <c r="D5" s="51">
        <v>63.11</v>
      </c>
      <c r="E5" s="51">
        <v>200.27</v>
      </c>
      <c r="F5" s="51">
        <v>214.41</v>
      </c>
      <c r="G5" s="51">
        <v>260.21</v>
      </c>
      <c r="H5" s="51"/>
      <c r="I5" s="51"/>
      <c r="J5" s="51"/>
      <c r="K5" s="51"/>
    </row>
    <row r="6" ht="15.75" customHeight="1">
      <c r="A6" s="49" t="s">
        <v>18</v>
      </c>
      <c r="B6" s="51">
        <v>1177.67</v>
      </c>
      <c r="C6" s="51">
        <v>1136.31</v>
      </c>
      <c r="D6" s="51">
        <v>1125.96</v>
      </c>
      <c r="E6" s="51">
        <v>1095.28</v>
      </c>
      <c r="F6" s="51">
        <v>1248.35</v>
      </c>
      <c r="G6" s="51">
        <v>1250.81</v>
      </c>
      <c r="H6" s="51"/>
      <c r="I6" s="51"/>
      <c r="J6" s="51"/>
      <c r="K6" s="51"/>
    </row>
    <row r="7" ht="15.75" customHeight="1">
      <c r="A7" s="56"/>
    </row>
    <row r="8" ht="15.75" customHeight="1">
      <c r="A8" s="56"/>
    </row>
    <row r="9" ht="15.75" customHeight="1">
      <c r="A9" s="56"/>
    </row>
    <row r="10" ht="15.75" customHeight="1">
      <c r="A10" s="56"/>
    </row>
    <row r="11" ht="15.75" customHeight="1">
      <c r="A11" s="56"/>
    </row>
    <row r="12" ht="15.75" customHeight="1">
      <c r="A12" s="56"/>
    </row>
    <row r="13" ht="15.75" customHeight="1">
      <c r="A13" s="56"/>
    </row>
    <row r="14" ht="15.75" customHeight="1">
      <c r="A14" s="56"/>
    </row>
    <row r="15" ht="15.75" customHeight="1">
      <c r="A15" s="56"/>
    </row>
    <row r="16" ht="15.75" customHeight="1">
      <c r="A16" s="56"/>
    </row>
    <row r="17" ht="15.75" customHeight="1">
      <c r="A17" s="56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88"/>
  </cols>
  <sheetData>
    <row r="1" ht="15.75" customHeight="1">
      <c r="A1" s="53" t="s">
        <v>4</v>
      </c>
      <c r="B1" s="47">
        <v>45717.0</v>
      </c>
      <c r="C1" s="47">
        <v>45748.0</v>
      </c>
      <c r="D1" s="57">
        <v>45778.0</v>
      </c>
      <c r="E1" s="47">
        <v>45809.0</v>
      </c>
      <c r="F1" s="47">
        <v>45839.0</v>
      </c>
      <c r="G1" s="57">
        <v>45870.0</v>
      </c>
      <c r="H1" s="47">
        <v>45901.0</v>
      </c>
      <c r="I1" s="47">
        <v>45931.0</v>
      </c>
      <c r="J1" s="57">
        <v>45962.0</v>
      </c>
      <c r="K1" s="47">
        <v>45992.0</v>
      </c>
      <c r="L1" s="47">
        <v>46023.0</v>
      </c>
      <c r="M1" s="57">
        <v>46054.0</v>
      </c>
      <c r="N1" s="47">
        <v>46082.0</v>
      </c>
      <c r="O1" s="57"/>
      <c r="P1" s="57"/>
      <c r="Q1" s="57"/>
      <c r="R1" s="57"/>
      <c r="S1" s="57"/>
      <c r="T1" s="57"/>
      <c r="U1" s="57"/>
      <c r="V1" s="57"/>
      <c r="W1" s="57"/>
    </row>
    <row r="2" ht="15.75" customHeight="1">
      <c r="A2" s="54" t="s">
        <v>11</v>
      </c>
      <c r="B2" s="50">
        <v>0.0</v>
      </c>
      <c r="C2" s="51">
        <v>0.0</v>
      </c>
      <c r="D2" s="51">
        <v>0.0</v>
      </c>
      <c r="E2" s="51">
        <v>0.0</v>
      </c>
      <c r="F2" s="51">
        <v>0.0</v>
      </c>
      <c r="G2" s="51">
        <v>0.0</v>
      </c>
      <c r="H2" s="51">
        <v>0.0</v>
      </c>
      <c r="I2" s="51">
        <v>0.0</v>
      </c>
      <c r="J2" s="51">
        <v>0.0</v>
      </c>
      <c r="K2" s="51">
        <v>0.0</v>
      </c>
      <c r="L2" s="51">
        <v>0.0</v>
      </c>
      <c r="M2" s="51">
        <v>0.0</v>
      </c>
      <c r="N2" s="51">
        <v>0.0</v>
      </c>
      <c r="O2" s="51"/>
      <c r="P2" s="51"/>
      <c r="Q2" s="51"/>
      <c r="R2" s="51"/>
      <c r="S2" s="51"/>
      <c r="T2" s="51"/>
      <c r="U2" s="51"/>
      <c r="V2" s="51"/>
      <c r="W2" s="51"/>
    </row>
    <row r="3" ht="15.75" customHeight="1">
      <c r="A3" s="54" t="s">
        <v>13</v>
      </c>
      <c r="B3" s="50">
        <v>82.07</v>
      </c>
      <c r="C3" s="51">
        <v>133.97</v>
      </c>
      <c r="D3" s="51">
        <v>121.67</v>
      </c>
      <c r="E3" s="51">
        <v>119.89</v>
      </c>
      <c r="F3" s="51">
        <v>109.75</v>
      </c>
      <c r="G3" s="51">
        <v>86.51</v>
      </c>
      <c r="H3" s="51">
        <v>11.08</v>
      </c>
      <c r="I3" s="51">
        <v>15.39</v>
      </c>
      <c r="J3" s="51">
        <v>113.21</v>
      </c>
      <c r="K3" s="51">
        <v>104.67</v>
      </c>
      <c r="L3" s="51">
        <v>128.58</v>
      </c>
      <c r="M3" s="51">
        <v>143.81</v>
      </c>
      <c r="N3" s="51">
        <v>144.61</v>
      </c>
      <c r="O3" s="51"/>
      <c r="P3" s="51"/>
      <c r="Q3" s="51"/>
      <c r="R3" s="51"/>
      <c r="S3" s="51"/>
      <c r="T3" s="51"/>
      <c r="U3" s="51"/>
      <c r="V3" s="51"/>
      <c r="W3" s="51"/>
    </row>
    <row r="4" ht="15.75" customHeight="1">
      <c r="A4" s="54" t="s">
        <v>21</v>
      </c>
      <c r="B4" s="50">
        <v>114.82</v>
      </c>
      <c r="C4" s="51">
        <v>228.45</v>
      </c>
      <c r="D4" s="51">
        <v>243.77</v>
      </c>
      <c r="E4" s="51">
        <v>331.28</v>
      </c>
      <c r="F4" s="51">
        <v>360.28</v>
      </c>
      <c r="G4" s="51">
        <v>440.52</v>
      </c>
      <c r="H4" s="51">
        <v>420.3</v>
      </c>
      <c r="I4" s="51">
        <v>222.01</v>
      </c>
      <c r="J4" s="51">
        <v>210.24</v>
      </c>
      <c r="K4" s="51">
        <v>161.0</v>
      </c>
      <c r="L4" s="51">
        <v>116.16</v>
      </c>
      <c r="M4" s="51">
        <v>138.93</v>
      </c>
      <c r="N4" s="51">
        <v>165.16</v>
      </c>
      <c r="O4" s="51"/>
      <c r="P4" s="51"/>
      <c r="Q4" s="51"/>
      <c r="R4" s="51"/>
      <c r="S4" s="51"/>
      <c r="T4" s="51"/>
      <c r="U4" s="51"/>
      <c r="V4" s="51"/>
      <c r="W4" s="51"/>
    </row>
    <row r="5" ht="15.75" customHeight="1">
      <c r="A5" s="54" t="s">
        <v>16</v>
      </c>
      <c r="B5" s="50">
        <v>56.52</v>
      </c>
      <c r="C5" s="51">
        <v>89.31</v>
      </c>
      <c r="D5" s="51">
        <v>119.99</v>
      </c>
      <c r="E5" s="51">
        <v>72.26</v>
      </c>
      <c r="F5" s="51">
        <v>78.58</v>
      </c>
      <c r="G5" s="51">
        <v>96.08</v>
      </c>
      <c r="H5" s="51">
        <v>208.34</v>
      </c>
      <c r="I5" s="51">
        <v>110.05</v>
      </c>
      <c r="J5" s="51">
        <v>45.85</v>
      </c>
      <c r="K5" s="51">
        <v>35.12</v>
      </c>
      <c r="L5" s="51">
        <v>25.34</v>
      </c>
      <c r="M5" s="51">
        <v>30.3</v>
      </c>
      <c r="N5" s="51">
        <v>82.48</v>
      </c>
      <c r="O5" s="51"/>
      <c r="P5" s="51"/>
      <c r="Q5" s="51"/>
      <c r="R5" s="51"/>
      <c r="S5" s="51"/>
      <c r="T5" s="51"/>
      <c r="U5" s="51"/>
      <c r="V5" s="51"/>
      <c r="W5" s="51"/>
    </row>
    <row r="6" ht="15.75" customHeight="1">
      <c r="A6" s="54" t="s">
        <v>18</v>
      </c>
      <c r="B6" s="50">
        <v>803.98</v>
      </c>
      <c r="C6" s="51">
        <v>831.55</v>
      </c>
      <c r="D6" s="51">
        <v>862.66</v>
      </c>
      <c r="E6" s="51">
        <v>843.92</v>
      </c>
      <c r="F6" s="51">
        <v>905.49</v>
      </c>
      <c r="G6" s="51">
        <v>813.6</v>
      </c>
      <c r="H6" s="51">
        <v>857.01</v>
      </c>
      <c r="I6" s="51">
        <v>509.41</v>
      </c>
      <c r="J6" s="51">
        <v>922.18</v>
      </c>
      <c r="K6" s="51">
        <v>804.32</v>
      </c>
      <c r="L6" s="51">
        <v>810.6</v>
      </c>
      <c r="M6" s="51">
        <v>782.96</v>
      </c>
      <c r="N6" s="51">
        <v>812.28</v>
      </c>
      <c r="O6" s="51"/>
      <c r="P6" s="51"/>
      <c r="Q6" s="51"/>
      <c r="R6" s="51"/>
      <c r="S6" s="51"/>
      <c r="T6" s="51"/>
      <c r="U6" s="51"/>
      <c r="V6" s="51"/>
      <c r="W6" s="51"/>
    </row>
    <row r="7" ht="15.75" customHeight="1">
      <c r="A7" s="59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</row>
    <row r="8" ht="15.75" customHeight="1">
      <c r="A8" s="59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</row>
    <row r="9" ht="15.75" customHeight="1">
      <c r="A9" s="59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</row>
    <row r="10" ht="15.75" customHeight="1">
      <c r="A10" s="59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</row>
    <row r="11" ht="15.75" customHeight="1">
      <c r="A11" s="59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</row>
    <row r="12" ht="15.75" customHeight="1">
      <c r="A12" s="59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ht="15.75" customHeight="1">
      <c r="A13" s="59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</row>
    <row r="14" ht="15.75" customHeight="1">
      <c r="A14" s="59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</row>
    <row r="15" ht="15.75" customHeight="1">
      <c r="A15" s="59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</row>
    <row r="16" ht="15.75" customHeight="1">
      <c r="A16" s="59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</row>
    <row r="17" ht="15.75" customHeight="1">
      <c r="A17" s="59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</row>
    <row r="18" ht="15.75" customHeight="1">
      <c r="A18" s="59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</row>
    <row r="19" ht="15.75" customHeight="1">
      <c r="A19" s="59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</row>
    <row r="20" ht="15.75" customHeight="1">
      <c r="A20" s="59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</row>
    <row r="21" ht="15.75" customHeight="1">
      <c r="A21" s="59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</row>
    <row r="22" ht="15.75" customHeight="1">
      <c r="A22" s="59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</row>
    <row r="23" ht="15.75" customHeight="1">
      <c r="A23" s="59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</row>
    <row r="24" ht="15.75" customHeight="1">
      <c r="A24" s="59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</row>
    <row r="25" ht="15.75" customHeight="1">
      <c r="A25" s="59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</row>
    <row r="26" ht="15.75" customHeight="1">
      <c r="A26" s="59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</row>
    <row r="27" ht="15.75" customHeight="1">
      <c r="A27" s="59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</row>
    <row r="28" ht="15.75" customHeight="1">
      <c r="A28" s="59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</row>
    <row r="29" ht="15.75" customHeight="1">
      <c r="A29" s="59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</row>
    <row r="30" ht="15.75" customHeight="1">
      <c r="A30" s="59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</row>
    <row r="31" ht="15.75" customHeight="1">
      <c r="A31" s="59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</row>
    <row r="32" ht="15.75" customHeight="1">
      <c r="A32" s="59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</row>
    <row r="33" ht="15.75" customHeight="1">
      <c r="A33" s="59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</row>
    <row r="34" ht="15.75" customHeight="1">
      <c r="A34" s="59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</row>
    <row r="35" ht="15.75" customHeight="1">
      <c r="A35" s="59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</row>
    <row r="36" ht="15.75" customHeight="1">
      <c r="A36" s="59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</row>
    <row r="37" ht="15.75" customHeight="1">
      <c r="A37" s="59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</row>
    <row r="38" ht="15.75" customHeight="1">
      <c r="A38" s="59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</row>
    <row r="39" ht="15.75" customHeight="1">
      <c r="A39" s="59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</row>
    <row r="40" ht="15.75" customHeight="1">
      <c r="A40" s="59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</row>
    <row r="41" ht="15.75" customHeight="1">
      <c r="A41" s="59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</row>
    <row r="42" ht="15.75" customHeight="1">
      <c r="A42" s="59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</row>
    <row r="43" ht="15.75" customHeight="1">
      <c r="A43" s="59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</row>
    <row r="44" ht="15.75" customHeight="1">
      <c r="A44" s="59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</row>
    <row r="45" ht="15.75" customHeight="1">
      <c r="A45" s="59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</row>
    <row r="46" ht="15.75" customHeight="1">
      <c r="A46" s="59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</row>
    <row r="47" ht="15.75" customHeight="1">
      <c r="A47" s="59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</row>
    <row r="48" ht="15.75" customHeight="1">
      <c r="A48" s="59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</row>
    <row r="49" ht="15.75" customHeight="1">
      <c r="A49" s="59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</row>
    <row r="50" ht="15.75" customHeight="1">
      <c r="A50" s="5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</row>
    <row r="51" ht="15.75" customHeight="1">
      <c r="A51" s="5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</row>
    <row r="52" ht="15.75" customHeight="1">
      <c r="A52" s="59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</row>
    <row r="53" ht="15.75" customHeight="1">
      <c r="A53" s="59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</row>
    <row r="54" ht="15.75" customHeight="1">
      <c r="A54" s="59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</row>
    <row r="55" ht="15.75" customHeight="1">
      <c r="A55" s="59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</row>
    <row r="56" ht="15.75" customHeight="1">
      <c r="A56" s="59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</row>
    <row r="57" ht="15.75" customHeight="1">
      <c r="A57" s="59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</row>
    <row r="58" ht="15.75" customHeight="1">
      <c r="A58" s="59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</row>
    <row r="59" ht="15.75" customHeight="1">
      <c r="A59" s="59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</row>
    <row r="60" ht="15.75" customHeight="1">
      <c r="A60" s="59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</row>
    <row r="61" ht="15.75" customHeight="1">
      <c r="A61" s="59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</row>
    <row r="62" ht="15.75" customHeight="1">
      <c r="A62" s="59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</row>
    <row r="63" ht="15.75" customHeight="1">
      <c r="A63" s="59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</row>
    <row r="64" ht="15.75" customHeight="1">
      <c r="A64" s="59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</row>
    <row r="65" ht="15.75" customHeight="1">
      <c r="A65" s="59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</row>
    <row r="66" ht="15.75" customHeight="1">
      <c r="A66" s="59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</row>
    <row r="67" ht="15.75" customHeight="1">
      <c r="A67" s="59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</row>
    <row r="68" ht="15.75" customHeight="1">
      <c r="A68" s="59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</row>
    <row r="69" ht="15.75" customHeight="1">
      <c r="A69" s="59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</row>
    <row r="70" ht="15.75" customHeight="1">
      <c r="A70" s="59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</row>
    <row r="71" ht="15.75" customHeight="1">
      <c r="A71" s="59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</row>
    <row r="72" ht="15.75" customHeight="1">
      <c r="A72" s="59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</row>
    <row r="73" ht="15.75" customHeight="1">
      <c r="A73" s="59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</row>
    <row r="74" ht="15.75" customHeight="1">
      <c r="A74" s="59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</row>
    <row r="75" ht="15.75" customHeight="1">
      <c r="A75" s="59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</row>
    <row r="76" ht="15.75" customHeight="1">
      <c r="A76" s="59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</row>
    <row r="77" ht="15.75" customHeight="1">
      <c r="A77" s="59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</row>
    <row r="78" ht="15.75" customHeight="1">
      <c r="A78" s="59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</row>
    <row r="79" ht="15.75" customHeight="1">
      <c r="A79" s="59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</row>
    <row r="80" ht="15.75" customHeight="1">
      <c r="A80" s="59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</row>
    <row r="81" ht="15.75" customHeight="1">
      <c r="A81" s="59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</row>
    <row r="82" ht="15.75" customHeight="1">
      <c r="A82" s="59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</row>
    <row r="83" ht="15.75" customHeight="1">
      <c r="A83" s="59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</row>
    <row r="84" ht="15.75" customHeight="1">
      <c r="A84" s="59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</row>
    <row r="85" ht="15.75" customHeight="1">
      <c r="A85" s="59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</row>
    <row r="86" ht="15.75" customHeight="1">
      <c r="A86" s="59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</row>
    <row r="87" ht="15.75" customHeight="1">
      <c r="A87" s="59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</row>
    <row r="88" ht="15.75" customHeight="1">
      <c r="A88" s="59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</row>
    <row r="89" ht="15.75" customHeight="1">
      <c r="A89" s="59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</row>
    <row r="90" ht="15.75" customHeight="1">
      <c r="A90" s="59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</row>
    <row r="91" ht="15.75" customHeight="1">
      <c r="A91" s="59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</row>
    <row r="92" ht="15.75" customHeight="1">
      <c r="A92" s="59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</row>
    <row r="93" ht="15.75" customHeight="1">
      <c r="A93" s="59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</row>
    <row r="94" ht="15.75" customHeight="1">
      <c r="A94" s="59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</row>
    <row r="95" ht="15.75" customHeight="1">
      <c r="A95" s="59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</row>
    <row r="96" ht="15.75" customHeight="1">
      <c r="A96" s="59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</row>
    <row r="97" ht="15.75" customHeight="1">
      <c r="A97" s="59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</row>
    <row r="98" ht="15.75" customHeight="1">
      <c r="A98" s="59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</row>
    <row r="99" ht="15.75" customHeight="1">
      <c r="A99" s="59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</row>
    <row r="100" ht="15.75" customHeight="1">
      <c r="A100" s="59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</row>
    <row r="101" ht="15.75" customHeight="1">
      <c r="A101" s="59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</row>
    <row r="102" ht="15.75" customHeight="1">
      <c r="A102" s="59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</row>
    <row r="103" ht="15.75" customHeight="1">
      <c r="A103" s="59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</row>
    <row r="104" ht="15.75" customHeight="1">
      <c r="A104" s="59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</row>
    <row r="105" ht="15.75" customHeight="1">
      <c r="A105" s="59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</row>
    <row r="106" ht="15.75" customHeight="1">
      <c r="A106" s="59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</row>
    <row r="107" ht="15.75" customHeight="1">
      <c r="A107" s="59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</row>
    <row r="108" ht="15.75" customHeight="1">
      <c r="A108" s="59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</row>
    <row r="109" ht="15.75" customHeight="1">
      <c r="A109" s="59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</row>
    <row r="110" ht="15.75" customHeight="1">
      <c r="A110" s="59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</row>
    <row r="111" ht="15.75" customHeight="1">
      <c r="A111" s="59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</row>
    <row r="112" ht="15.75" customHeight="1">
      <c r="A112" s="59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</row>
    <row r="113" ht="15.75" customHeight="1">
      <c r="A113" s="59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</row>
    <row r="114" ht="15.75" customHeight="1">
      <c r="A114" s="59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</row>
    <row r="115" ht="15.75" customHeight="1">
      <c r="A115" s="59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</row>
    <row r="116" ht="15.75" customHeight="1">
      <c r="A116" s="59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</row>
    <row r="117" ht="15.75" customHeight="1">
      <c r="A117" s="59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</row>
    <row r="118" ht="15.75" customHeight="1">
      <c r="A118" s="59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</row>
    <row r="119" ht="15.75" customHeight="1">
      <c r="A119" s="59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</row>
    <row r="120" ht="15.75" customHeight="1">
      <c r="A120" s="59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</row>
    <row r="121" ht="15.75" customHeight="1">
      <c r="A121" s="59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</row>
    <row r="122" ht="15.75" customHeight="1">
      <c r="A122" s="59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</row>
    <row r="123" ht="15.75" customHeight="1">
      <c r="A123" s="59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</row>
    <row r="124" ht="15.75" customHeight="1">
      <c r="A124" s="59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</row>
    <row r="125" ht="15.75" customHeight="1">
      <c r="A125" s="59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</row>
    <row r="126" ht="15.75" customHeight="1">
      <c r="A126" s="59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</row>
    <row r="127" ht="15.75" customHeight="1">
      <c r="A127" s="59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</row>
    <row r="128" ht="15.75" customHeight="1">
      <c r="A128" s="59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</row>
    <row r="129" ht="15.75" customHeight="1">
      <c r="A129" s="59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</row>
    <row r="130" ht="15.75" customHeight="1">
      <c r="A130" s="59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</row>
    <row r="131" ht="15.75" customHeight="1">
      <c r="A131" s="59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</row>
    <row r="132" ht="15.75" customHeight="1">
      <c r="A132" s="59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</row>
    <row r="133" ht="15.75" customHeight="1">
      <c r="A133" s="59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</row>
    <row r="134" ht="15.75" customHeight="1">
      <c r="A134" s="59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</row>
    <row r="135" ht="15.75" customHeight="1">
      <c r="A135" s="59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</row>
    <row r="136" ht="15.75" customHeight="1">
      <c r="A136" s="59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</row>
    <row r="137" ht="15.75" customHeight="1">
      <c r="A137" s="59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</row>
    <row r="138" ht="15.75" customHeight="1">
      <c r="A138" s="59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</row>
    <row r="139" ht="15.75" customHeight="1">
      <c r="A139" s="59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</row>
    <row r="140" ht="15.75" customHeight="1">
      <c r="A140" s="59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</row>
    <row r="141" ht="15.75" customHeight="1">
      <c r="A141" s="59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</row>
    <row r="142" ht="15.75" customHeight="1">
      <c r="A142" s="59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</row>
    <row r="143" ht="15.75" customHeight="1">
      <c r="A143" s="59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</row>
    <row r="144" ht="15.75" customHeight="1">
      <c r="A144" s="59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</row>
    <row r="145" ht="15.75" customHeight="1">
      <c r="A145" s="59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</row>
    <row r="146" ht="15.75" customHeight="1">
      <c r="A146" s="59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</row>
    <row r="147" ht="15.75" customHeight="1">
      <c r="A147" s="59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</row>
    <row r="148" ht="15.75" customHeight="1">
      <c r="A148" s="59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</row>
    <row r="149" ht="15.75" customHeight="1">
      <c r="A149" s="59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</row>
    <row r="150" ht="15.75" customHeight="1">
      <c r="A150" s="59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</row>
    <row r="151" ht="15.75" customHeight="1">
      <c r="A151" s="59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</row>
    <row r="152" ht="15.75" customHeight="1">
      <c r="A152" s="59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</row>
    <row r="153" ht="15.75" customHeight="1">
      <c r="A153" s="59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</row>
    <row r="154" ht="15.75" customHeight="1">
      <c r="A154" s="59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</row>
    <row r="155" ht="15.75" customHeight="1">
      <c r="A155" s="59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</row>
    <row r="156" ht="15.75" customHeight="1">
      <c r="A156" s="59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</row>
    <row r="157" ht="15.75" customHeight="1">
      <c r="A157" s="59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</row>
    <row r="158" ht="15.75" customHeight="1">
      <c r="A158" s="59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</row>
    <row r="159" ht="15.75" customHeight="1">
      <c r="A159" s="59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</row>
    <row r="160" ht="15.75" customHeight="1">
      <c r="A160" s="59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</row>
    <row r="161" ht="15.75" customHeight="1">
      <c r="A161" s="59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</row>
    <row r="162" ht="15.75" customHeight="1">
      <c r="A162" s="59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</row>
    <row r="163" ht="15.75" customHeight="1">
      <c r="A163" s="59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</row>
    <row r="164" ht="15.75" customHeight="1">
      <c r="A164" s="59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</row>
    <row r="165" ht="15.75" customHeight="1">
      <c r="A165" s="59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</row>
    <row r="166" ht="15.75" customHeight="1">
      <c r="A166" s="59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</row>
    <row r="167" ht="15.75" customHeight="1">
      <c r="A167" s="59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</row>
    <row r="168" ht="15.75" customHeight="1">
      <c r="A168" s="59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</row>
    <row r="169" ht="15.75" customHeight="1">
      <c r="A169" s="59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</row>
    <row r="170" ht="15.75" customHeight="1">
      <c r="A170" s="59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</row>
    <row r="171" ht="15.75" customHeight="1">
      <c r="A171" s="59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</row>
    <row r="172" ht="15.75" customHeight="1">
      <c r="A172" s="59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</row>
    <row r="173" ht="15.75" customHeight="1">
      <c r="A173" s="59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</row>
    <row r="174" ht="15.75" customHeight="1">
      <c r="A174" s="59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</row>
    <row r="175" ht="15.75" customHeight="1">
      <c r="A175" s="59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</row>
    <row r="176" ht="15.75" customHeight="1">
      <c r="A176" s="59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</row>
    <row r="177" ht="15.75" customHeight="1">
      <c r="A177" s="59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</row>
    <row r="178" ht="15.75" customHeight="1">
      <c r="A178" s="59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</row>
    <row r="179" ht="15.75" customHeight="1">
      <c r="A179" s="59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</row>
    <row r="180" ht="15.75" customHeight="1">
      <c r="A180" s="59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</row>
    <row r="181" ht="15.75" customHeight="1">
      <c r="A181" s="59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</row>
    <row r="182" ht="15.75" customHeight="1">
      <c r="A182" s="59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</row>
    <row r="183" ht="15.75" customHeight="1">
      <c r="A183" s="59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</row>
    <row r="184" ht="15.75" customHeight="1">
      <c r="A184" s="59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</row>
    <row r="185" ht="15.75" customHeight="1">
      <c r="A185" s="59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</row>
    <row r="186" ht="15.75" customHeight="1">
      <c r="A186" s="59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</row>
    <row r="187" ht="15.75" customHeight="1">
      <c r="A187" s="59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</row>
    <row r="188" ht="15.75" customHeight="1">
      <c r="A188" s="59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</row>
    <row r="189" ht="15.75" customHeight="1">
      <c r="A189" s="59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</row>
    <row r="190" ht="15.75" customHeight="1">
      <c r="A190" s="59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</row>
    <row r="191" ht="15.75" customHeight="1">
      <c r="A191" s="59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</row>
    <row r="192" ht="15.75" customHeight="1">
      <c r="A192" s="59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</row>
    <row r="193" ht="15.75" customHeight="1">
      <c r="A193" s="59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</row>
    <row r="194" ht="15.75" customHeight="1">
      <c r="A194" s="59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</row>
    <row r="195" ht="15.75" customHeight="1">
      <c r="A195" s="59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</row>
    <row r="196" ht="15.75" customHeight="1">
      <c r="A196" s="59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</row>
    <row r="197" ht="15.75" customHeight="1">
      <c r="A197" s="59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</row>
    <row r="198" ht="15.75" customHeight="1">
      <c r="A198" s="59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</row>
    <row r="199" ht="15.75" customHeight="1">
      <c r="A199" s="59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</row>
    <row r="200" ht="15.75" customHeight="1">
      <c r="A200" s="59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</row>
    <row r="201" ht="15.75" customHeight="1">
      <c r="A201" s="59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</row>
    <row r="202" ht="15.75" customHeight="1">
      <c r="A202" s="59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</row>
    <row r="203" ht="15.75" customHeight="1">
      <c r="A203" s="59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</row>
    <row r="204" ht="15.75" customHeight="1">
      <c r="A204" s="59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</row>
    <row r="205" ht="15.75" customHeight="1">
      <c r="A205" s="59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</row>
    <row r="206" ht="15.75" customHeight="1">
      <c r="A206" s="59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</row>
    <row r="207" ht="15.75" customHeight="1">
      <c r="A207" s="59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</row>
    <row r="208" ht="15.75" customHeight="1">
      <c r="A208" s="59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</row>
    <row r="209" ht="15.75" customHeight="1">
      <c r="A209" s="59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</row>
    <row r="210" ht="15.75" customHeight="1">
      <c r="A210" s="59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</row>
    <row r="211" ht="15.75" customHeight="1">
      <c r="A211" s="59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</row>
    <row r="212" ht="15.75" customHeight="1">
      <c r="A212" s="59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</row>
    <row r="213" ht="15.75" customHeight="1">
      <c r="A213" s="59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</row>
    <row r="214" ht="15.75" customHeight="1">
      <c r="A214" s="59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</row>
    <row r="215" ht="15.75" customHeight="1">
      <c r="A215" s="59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</row>
    <row r="216" ht="15.75" customHeight="1">
      <c r="A216" s="59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</row>
    <row r="217" ht="15.75" customHeight="1">
      <c r="A217" s="59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</row>
    <row r="218" ht="15.75" customHeight="1">
      <c r="A218" s="59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</row>
    <row r="219" ht="15.75" customHeight="1">
      <c r="A219" s="59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</row>
    <row r="220" ht="15.75" customHeight="1">
      <c r="A220" s="59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</row>
    <row r="221" ht="15.75" customHeight="1">
      <c r="A221" s="59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</row>
    <row r="222" ht="15.75" customHeight="1">
      <c r="A222" s="59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</row>
    <row r="223" ht="15.75" customHeight="1">
      <c r="A223" s="59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</row>
    <row r="224" ht="15.75" customHeight="1">
      <c r="A224" s="59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</row>
    <row r="225" ht="15.75" customHeight="1">
      <c r="A225" s="59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</row>
    <row r="226" ht="15.75" customHeight="1">
      <c r="A226" s="59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</row>
    <row r="227" ht="15.75" customHeight="1">
      <c r="A227" s="59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</row>
    <row r="228" ht="15.75" customHeight="1">
      <c r="A228" s="59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</row>
    <row r="229" ht="15.75" customHeight="1">
      <c r="A229" s="59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</row>
    <row r="230" ht="15.75" customHeight="1">
      <c r="A230" s="59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</row>
    <row r="231" ht="15.75" customHeight="1">
      <c r="A231" s="59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</row>
    <row r="232" ht="15.75" customHeight="1">
      <c r="A232" s="59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</row>
    <row r="233" ht="15.75" customHeight="1">
      <c r="A233" s="59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</row>
    <row r="234" ht="15.75" customHeight="1">
      <c r="A234" s="59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</row>
    <row r="235" ht="15.75" customHeight="1">
      <c r="A235" s="59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</row>
    <row r="236" ht="15.75" customHeight="1">
      <c r="A236" s="59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</row>
    <row r="237" ht="15.75" customHeight="1">
      <c r="A237" s="59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</row>
    <row r="238" ht="15.75" customHeight="1">
      <c r="A238" s="59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</row>
    <row r="239" ht="15.75" customHeight="1">
      <c r="A239" s="59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</row>
    <row r="240" ht="15.75" customHeight="1">
      <c r="A240" s="59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</row>
    <row r="241" ht="15.75" customHeight="1">
      <c r="A241" s="59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</row>
    <row r="242" ht="15.75" customHeight="1">
      <c r="A242" s="59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</row>
    <row r="243" ht="15.75" customHeight="1">
      <c r="A243" s="59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</row>
    <row r="244" ht="15.75" customHeight="1">
      <c r="A244" s="59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</row>
    <row r="245" ht="15.75" customHeight="1">
      <c r="A245" s="59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</row>
    <row r="246" ht="15.75" customHeight="1">
      <c r="A246" s="59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</row>
    <row r="247" ht="15.75" customHeight="1">
      <c r="A247" s="59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</row>
    <row r="248" ht="15.75" customHeight="1">
      <c r="A248" s="59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</row>
    <row r="249" ht="15.75" customHeight="1">
      <c r="A249" s="59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</row>
    <row r="250" ht="15.75" customHeight="1">
      <c r="A250" s="59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</row>
    <row r="251" ht="15.75" customHeight="1">
      <c r="A251" s="59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</row>
    <row r="252" ht="15.75" customHeight="1">
      <c r="A252" s="59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</row>
    <row r="253" ht="15.75" customHeight="1">
      <c r="A253" s="59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</row>
    <row r="254" ht="15.75" customHeight="1">
      <c r="A254" s="59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</row>
    <row r="255" ht="15.75" customHeight="1">
      <c r="A255" s="59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</row>
    <row r="256" ht="15.75" customHeight="1">
      <c r="A256" s="59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</row>
    <row r="257" ht="15.75" customHeight="1">
      <c r="A257" s="59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</row>
    <row r="258" ht="15.75" customHeight="1">
      <c r="A258" s="59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</row>
    <row r="259" ht="15.75" customHeight="1">
      <c r="A259" s="59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</row>
    <row r="260" ht="15.75" customHeight="1">
      <c r="A260" s="59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</row>
    <row r="261" ht="15.75" customHeight="1">
      <c r="A261" s="59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</row>
    <row r="262" ht="15.75" customHeight="1">
      <c r="A262" s="59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</row>
    <row r="263" ht="15.75" customHeight="1">
      <c r="A263" s="59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</row>
    <row r="264" ht="15.75" customHeight="1">
      <c r="A264" s="59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</row>
    <row r="265" ht="15.75" customHeight="1">
      <c r="A265" s="59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</row>
    <row r="266" ht="15.75" customHeight="1">
      <c r="A266" s="59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</row>
    <row r="267" ht="15.75" customHeight="1">
      <c r="A267" s="59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</row>
    <row r="268" ht="15.75" customHeight="1">
      <c r="A268" s="59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</row>
    <row r="269" ht="15.75" customHeight="1">
      <c r="A269" s="59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</row>
    <row r="270" ht="15.75" customHeight="1">
      <c r="A270" s="59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</row>
    <row r="271" ht="15.75" customHeight="1">
      <c r="A271" s="59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</row>
    <row r="272" ht="15.75" customHeight="1">
      <c r="A272" s="59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</row>
    <row r="273" ht="15.75" customHeight="1">
      <c r="A273" s="59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</row>
    <row r="274" ht="15.75" customHeight="1">
      <c r="A274" s="59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</row>
    <row r="275" ht="15.75" customHeight="1">
      <c r="A275" s="59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</row>
    <row r="276" ht="15.75" customHeight="1">
      <c r="A276" s="59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</row>
    <row r="277" ht="15.75" customHeight="1">
      <c r="A277" s="59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</row>
    <row r="278" ht="15.75" customHeight="1">
      <c r="A278" s="59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</row>
    <row r="279" ht="15.75" customHeight="1">
      <c r="A279" s="59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</row>
    <row r="280" ht="15.75" customHeight="1">
      <c r="A280" s="59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</row>
    <row r="281" ht="15.75" customHeight="1">
      <c r="A281" s="59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</row>
    <row r="282" ht="15.75" customHeight="1">
      <c r="A282" s="59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</row>
    <row r="283" ht="15.75" customHeight="1">
      <c r="A283" s="59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</row>
    <row r="284" ht="15.75" customHeight="1">
      <c r="A284" s="59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</row>
    <row r="285" ht="15.75" customHeight="1">
      <c r="A285" s="59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</row>
    <row r="286" ht="15.75" customHeight="1">
      <c r="A286" s="59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</row>
    <row r="287" ht="15.75" customHeight="1">
      <c r="A287" s="59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</row>
    <row r="288" ht="15.75" customHeight="1">
      <c r="A288" s="59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</row>
    <row r="289" ht="15.75" customHeight="1">
      <c r="A289" s="59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</row>
    <row r="290" ht="15.75" customHeight="1">
      <c r="A290" s="59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</row>
    <row r="291" ht="15.75" customHeight="1">
      <c r="A291" s="59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</row>
    <row r="292" ht="15.75" customHeight="1">
      <c r="A292" s="59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</row>
    <row r="293" ht="15.75" customHeight="1">
      <c r="A293" s="59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</row>
    <row r="294" ht="15.75" customHeight="1">
      <c r="A294" s="59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</row>
    <row r="295" ht="15.75" customHeight="1">
      <c r="A295" s="59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</row>
    <row r="296" ht="15.75" customHeight="1">
      <c r="A296" s="59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</row>
    <row r="297" ht="15.75" customHeight="1">
      <c r="A297" s="59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</row>
    <row r="298" ht="15.75" customHeight="1">
      <c r="A298" s="59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</row>
    <row r="299" ht="15.75" customHeight="1">
      <c r="A299" s="59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</row>
    <row r="300" ht="15.75" customHeight="1">
      <c r="A300" s="59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</row>
    <row r="301" ht="15.75" customHeight="1">
      <c r="A301" s="59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</row>
    <row r="302" ht="15.75" customHeight="1">
      <c r="A302" s="59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</row>
    <row r="303" ht="15.75" customHeight="1">
      <c r="A303" s="59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</row>
    <row r="304" ht="15.75" customHeight="1">
      <c r="A304" s="59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</row>
    <row r="305" ht="15.75" customHeight="1">
      <c r="A305" s="59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</row>
    <row r="306" ht="15.75" customHeight="1">
      <c r="A306" s="59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</row>
    <row r="307" ht="15.75" customHeight="1">
      <c r="A307" s="59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</row>
    <row r="308" ht="15.75" customHeight="1">
      <c r="A308" s="59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</row>
    <row r="309" ht="15.75" customHeight="1">
      <c r="A309" s="59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</row>
    <row r="310" ht="15.75" customHeight="1">
      <c r="A310" s="59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</row>
    <row r="311" ht="15.75" customHeight="1">
      <c r="A311" s="59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</row>
    <row r="312" ht="15.75" customHeight="1">
      <c r="A312" s="59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</row>
    <row r="313" ht="15.75" customHeight="1">
      <c r="A313" s="59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</row>
    <row r="314" ht="15.75" customHeight="1">
      <c r="A314" s="59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</row>
    <row r="315" ht="15.75" customHeight="1">
      <c r="A315" s="59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</row>
    <row r="316" ht="15.75" customHeight="1">
      <c r="A316" s="59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</row>
    <row r="317" ht="15.75" customHeight="1">
      <c r="A317" s="59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</row>
    <row r="318" ht="15.75" customHeight="1">
      <c r="A318" s="59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</row>
    <row r="319" ht="15.75" customHeight="1">
      <c r="A319" s="59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</row>
    <row r="320" ht="15.75" customHeight="1">
      <c r="A320" s="59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</row>
    <row r="321" ht="15.75" customHeight="1">
      <c r="A321" s="59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</row>
    <row r="322" ht="15.75" customHeight="1">
      <c r="A322" s="59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</row>
    <row r="323" ht="15.75" customHeight="1">
      <c r="A323" s="59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</row>
    <row r="324" ht="15.75" customHeight="1">
      <c r="A324" s="59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</row>
    <row r="325" ht="15.75" customHeight="1">
      <c r="A325" s="59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</row>
    <row r="326" ht="15.75" customHeight="1">
      <c r="A326" s="59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</row>
    <row r="327" ht="15.75" customHeight="1">
      <c r="A327" s="59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</row>
    <row r="328" ht="15.75" customHeight="1">
      <c r="A328" s="59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</row>
    <row r="329" ht="15.75" customHeight="1">
      <c r="A329" s="59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</row>
    <row r="330" ht="15.75" customHeight="1">
      <c r="A330" s="59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</row>
    <row r="331" ht="15.75" customHeight="1">
      <c r="A331" s="59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</row>
    <row r="332" ht="15.75" customHeight="1">
      <c r="A332" s="59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</row>
    <row r="333" ht="15.75" customHeight="1">
      <c r="A333" s="59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</row>
    <row r="334" ht="15.75" customHeight="1">
      <c r="A334" s="59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</row>
    <row r="335" ht="15.75" customHeight="1">
      <c r="A335" s="59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</row>
    <row r="336" ht="15.75" customHeight="1">
      <c r="A336" s="59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</row>
    <row r="337" ht="15.75" customHeight="1">
      <c r="A337" s="59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</row>
    <row r="338" ht="15.75" customHeight="1">
      <c r="A338" s="59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</row>
    <row r="339" ht="15.75" customHeight="1">
      <c r="A339" s="59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</row>
    <row r="340" ht="15.75" customHeight="1">
      <c r="A340" s="59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</row>
    <row r="341" ht="15.75" customHeight="1">
      <c r="A341" s="59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</row>
    <row r="342" ht="15.75" customHeight="1">
      <c r="A342" s="59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</row>
    <row r="343" ht="15.75" customHeight="1">
      <c r="A343" s="59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</row>
    <row r="344" ht="15.75" customHeight="1">
      <c r="A344" s="59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</row>
    <row r="345" ht="15.75" customHeight="1">
      <c r="A345" s="59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</row>
    <row r="346" ht="15.75" customHeight="1">
      <c r="A346" s="59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</row>
    <row r="347" ht="15.75" customHeight="1">
      <c r="A347" s="59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</row>
    <row r="348" ht="15.75" customHeight="1">
      <c r="A348" s="59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</row>
    <row r="349" ht="15.75" customHeight="1">
      <c r="A349" s="59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</row>
    <row r="350" ht="15.75" customHeight="1">
      <c r="A350" s="59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</row>
    <row r="351" ht="15.75" customHeight="1">
      <c r="A351" s="59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</row>
    <row r="352" ht="15.75" customHeight="1">
      <c r="A352" s="59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</row>
    <row r="353" ht="15.75" customHeight="1">
      <c r="A353" s="59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</row>
    <row r="354" ht="15.75" customHeight="1">
      <c r="A354" s="59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</row>
    <row r="355" ht="15.75" customHeight="1">
      <c r="A355" s="59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</row>
    <row r="356" ht="15.75" customHeight="1">
      <c r="A356" s="59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</row>
    <row r="357" ht="15.75" customHeight="1">
      <c r="A357" s="59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</row>
    <row r="358" ht="15.75" customHeight="1">
      <c r="A358" s="59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</row>
    <row r="359" ht="15.75" customHeight="1">
      <c r="A359" s="59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</row>
    <row r="360" ht="15.75" customHeight="1">
      <c r="A360" s="59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</row>
    <row r="361" ht="15.75" customHeight="1">
      <c r="A361" s="59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</row>
    <row r="362" ht="15.75" customHeight="1">
      <c r="A362" s="59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</row>
    <row r="363" ht="15.75" customHeight="1">
      <c r="A363" s="59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</row>
    <row r="364" ht="15.75" customHeight="1">
      <c r="A364" s="59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</row>
    <row r="365" ht="15.75" customHeight="1">
      <c r="A365" s="59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</row>
    <row r="366" ht="15.75" customHeight="1">
      <c r="A366" s="59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</row>
    <row r="367" ht="15.75" customHeight="1">
      <c r="A367" s="59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</row>
    <row r="368" ht="15.75" customHeight="1">
      <c r="A368" s="59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</row>
    <row r="369" ht="15.75" customHeight="1">
      <c r="A369" s="59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</row>
    <row r="370" ht="15.75" customHeight="1">
      <c r="A370" s="59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</row>
    <row r="371" ht="15.75" customHeight="1">
      <c r="A371" s="59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</row>
    <row r="372" ht="15.75" customHeight="1">
      <c r="A372" s="59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</row>
    <row r="373" ht="15.75" customHeight="1">
      <c r="A373" s="59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</row>
    <row r="374" ht="15.75" customHeight="1">
      <c r="A374" s="59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</row>
    <row r="375" ht="15.75" customHeight="1">
      <c r="A375" s="59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</row>
    <row r="376" ht="15.75" customHeight="1">
      <c r="A376" s="59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</row>
    <row r="377" ht="15.75" customHeight="1">
      <c r="A377" s="59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</row>
    <row r="378" ht="15.75" customHeight="1">
      <c r="A378" s="59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</row>
    <row r="379" ht="15.75" customHeight="1">
      <c r="A379" s="59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</row>
    <row r="380" ht="15.75" customHeight="1">
      <c r="A380" s="59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</row>
    <row r="381" ht="15.75" customHeight="1">
      <c r="A381" s="59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</row>
    <row r="382" ht="15.75" customHeight="1">
      <c r="A382" s="59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</row>
    <row r="383" ht="15.75" customHeight="1">
      <c r="A383" s="59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</row>
    <row r="384" ht="15.75" customHeight="1">
      <c r="A384" s="59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</row>
    <row r="385" ht="15.75" customHeight="1">
      <c r="A385" s="59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</row>
    <row r="386" ht="15.75" customHeight="1">
      <c r="A386" s="59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</row>
    <row r="387" ht="15.75" customHeight="1">
      <c r="A387" s="59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</row>
    <row r="388" ht="15.75" customHeight="1">
      <c r="A388" s="59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</row>
    <row r="389" ht="15.75" customHeight="1">
      <c r="A389" s="59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</row>
    <row r="390" ht="15.75" customHeight="1">
      <c r="A390" s="59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</row>
    <row r="391" ht="15.75" customHeight="1">
      <c r="A391" s="59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</row>
    <row r="392" ht="15.75" customHeight="1">
      <c r="A392" s="59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</row>
    <row r="393" ht="15.75" customHeight="1">
      <c r="A393" s="59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</row>
    <row r="394" ht="15.75" customHeight="1">
      <c r="A394" s="59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</row>
    <row r="395" ht="15.75" customHeight="1">
      <c r="A395" s="59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</row>
    <row r="396" ht="15.75" customHeight="1">
      <c r="A396" s="59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</row>
    <row r="397" ht="15.75" customHeight="1">
      <c r="A397" s="59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</row>
    <row r="398" ht="15.75" customHeight="1">
      <c r="A398" s="59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</row>
    <row r="399" ht="15.75" customHeight="1">
      <c r="A399" s="59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</row>
    <row r="400" ht="15.75" customHeight="1">
      <c r="A400" s="59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</row>
    <row r="401" ht="15.75" customHeight="1">
      <c r="A401" s="59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</row>
    <row r="402" ht="15.75" customHeight="1">
      <c r="A402" s="59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</row>
    <row r="403" ht="15.75" customHeight="1">
      <c r="A403" s="59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</row>
    <row r="404" ht="15.75" customHeight="1">
      <c r="A404" s="59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</row>
    <row r="405" ht="15.75" customHeight="1">
      <c r="A405" s="59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</row>
    <row r="406" ht="15.75" customHeight="1">
      <c r="A406" s="59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</row>
    <row r="407" ht="15.75" customHeight="1">
      <c r="A407" s="59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</row>
    <row r="408" ht="15.75" customHeight="1">
      <c r="A408" s="59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</row>
    <row r="409" ht="15.75" customHeight="1">
      <c r="A409" s="59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</row>
    <row r="410" ht="15.75" customHeight="1">
      <c r="A410" s="59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</row>
    <row r="411" ht="15.75" customHeight="1">
      <c r="A411" s="59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</row>
    <row r="412" ht="15.75" customHeight="1">
      <c r="A412" s="59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</row>
    <row r="413" ht="15.75" customHeight="1">
      <c r="A413" s="59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</row>
    <row r="414" ht="15.75" customHeight="1">
      <c r="A414" s="59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</row>
    <row r="415" ht="15.75" customHeight="1">
      <c r="A415" s="59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</row>
    <row r="416" ht="15.75" customHeight="1">
      <c r="A416" s="59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</row>
    <row r="417" ht="15.75" customHeight="1">
      <c r="A417" s="59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</row>
    <row r="418" ht="15.75" customHeight="1">
      <c r="A418" s="59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</row>
    <row r="419" ht="15.75" customHeight="1">
      <c r="A419" s="59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</row>
    <row r="420" ht="15.75" customHeight="1">
      <c r="A420" s="59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</row>
    <row r="421" ht="15.75" customHeight="1">
      <c r="A421" s="59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</row>
    <row r="422" ht="15.75" customHeight="1">
      <c r="A422" s="59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</row>
    <row r="423" ht="15.75" customHeight="1">
      <c r="A423" s="59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</row>
    <row r="424" ht="15.75" customHeight="1">
      <c r="A424" s="59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</row>
    <row r="425" ht="15.75" customHeight="1">
      <c r="A425" s="59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</row>
    <row r="426" ht="15.75" customHeight="1">
      <c r="A426" s="59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</row>
    <row r="427" ht="15.75" customHeight="1">
      <c r="A427" s="59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</row>
    <row r="428" ht="15.75" customHeight="1">
      <c r="A428" s="59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</row>
    <row r="429" ht="15.75" customHeight="1">
      <c r="A429" s="59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</row>
    <row r="430" ht="15.75" customHeight="1">
      <c r="A430" s="59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</row>
    <row r="431" ht="15.75" customHeight="1">
      <c r="A431" s="59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</row>
    <row r="432" ht="15.75" customHeight="1">
      <c r="A432" s="59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</row>
    <row r="433" ht="15.75" customHeight="1">
      <c r="A433" s="59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</row>
    <row r="434" ht="15.75" customHeight="1">
      <c r="A434" s="59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</row>
    <row r="435" ht="15.75" customHeight="1">
      <c r="A435" s="59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</row>
    <row r="436" ht="15.75" customHeight="1">
      <c r="A436" s="59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</row>
    <row r="437" ht="15.75" customHeight="1">
      <c r="A437" s="59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</row>
    <row r="438" ht="15.75" customHeight="1">
      <c r="A438" s="59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</row>
    <row r="439" ht="15.75" customHeight="1">
      <c r="A439" s="59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</row>
    <row r="440" ht="15.75" customHeight="1">
      <c r="A440" s="59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</row>
    <row r="441" ht="15.75" customHeight="1">
      <c r="A441" s="59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</row>
    <row r="442" ht="15.75" customHeight="1">
      <c r="A442" s="59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</row>
    <row r="443" ht="15.75" customHeight="1">
      <c r="A443" s="59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</row>
    <row r="444" ht="15.75" customHeight="1">
      <c r="A444" s="59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</row>
    <row r="445" ht="15.75" customHeight="1">
      <c r="A445" s="59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</row>
    <row r="446" ht="15.75" customHeight="1">
      <c r="A446" s="59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</row>
    <row r="447" ht="15.75" customHeight="1">
      <c r="A447" s="59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</row>
    <row r="448" ht="15.75" customHeight="1">
      <c r="A448" s="59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</row>
    <row r="449" ht="15.75" customHeight="1">
      <c r="A449" s="59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</row>
    <row r="450" ht="15.75" customHeight="1">
      <c r="A450" s="59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</row>
    <row r="451" ht="15.75" customHeight="1">
      <c r="A451" s="59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</row>
    <row r="452" ht="15.75" customHeight="1">
      <c r="A452" s="59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</row>
    <row r="453" ht="15.75" customHeight="1">
      <c r="A453" s="59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</row>
    <row r="454" ht="15.75" customHeight="1">
      <c r="A454" s="59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</row>
    <row r="455" ht="15.75" customHeight="1">
      <c r="A455" s="59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</row>
    <row r="456" ht="15.75" customHeight="1">
      <c r="A456" s="59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</row>
    <row r="457" ht="15.75" customHeight="1">
      <c r="A457" s="59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</row>
    <row r="458" ht="15.75" customHeight="1">
      <c r="A458" s="59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</row>
    <row r="459" ht="15.75" customHeight="1">
      <c r="A459" s="59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</row>
    <row r="460" ht="15.75" customHeight="1">
      <c r="A460" s="59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</row>
    <row r="461" ht="15.75" customHeight="1">
      <c r="A461" s="59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</row>
    <row r="462" ht="15.75" customHeight="1">
      <c r="A462" s="59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</row>
    <row r="463" ht="15.75" customHeight="1">
      <c r="A463" s="59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</row>
    <row r="464" ht="15.75" customHeight="1">
      <c r="A464" s="59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</row>
    <row r="465" ht="15.75" customHeight="1">
      <c r="A465" s="59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</row>
    <row r="466" ht="15.75" customHeight="1">
      <c r="A466" s="59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</row>
    <row r="467" ht="15.75" customHeight="1">
      <c r="A467" s="59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</row>
    <row r="468" ht="15.75" customHeight="1">
      <c r="A468" s="59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</row>
    <row r="469" ht="15.75" customHeight="1">
      <c r="A469" s="59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</row>
    <row r="470" ht="15.75" customHeight="1">
      <c r="A470" s="59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</row>
    <row r="471" ht="15.75" customHeight="1">
      <c r="A471" s="59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</row>
    <row r="472" ht="15.75" customHeight="1">
      <c r="A472" s="59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</row>
    <row r="473" ht="15.75" customHeight="1">
      <c r="A473" s="59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</row>
    <row r="474" ht="15.75" customHeight="1">
      <c r="A474" s="59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</row>
    <row r="475" ht="15.75" customHeight="1">
      <c r="A475" s="59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</row>
    <row r="476" ht="15.75" customHeight="1">
      <c r="A476" s="59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</row>
    <row r="477" ht="15.75" customHeight="1">
      <c r="A477" s="59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</row>
    <row r="478" ht="15.75" customHeight="1">
      <c r="A478" s="59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</row>
    <row r="479" ht="15.75" customHeight="1">
      <c r="A479" s="59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</row>
    <row r="480" ht="15.75" customHeight="1">
      <c r="A480" s="59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</row>
    <row r="481" ht="15.75" customHeight="1">
      <c r="A481" s="59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</row>
    <row r="482" ht="15.75" customHeight="1">
      <c r="A482" s="59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</row>
    <row r="483" ht="15.75" customHeight="1">
      <c r="A483" s="59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</row>
    <row r="484" ht="15.75" customHeight="1">
      <c r="A484" s="59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</row>
    <row r="485" ht="15.75" customHeight="1">
      <c r="A485" s="59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</row>
    <row r="486" ht="15.75" customHeight="1">
      <c r="A486" s="59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</row>
    <row r="487" ht="15.75" customHeight="1">
      <c r="A487" s="59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</row>
    <row r="488" ht="15.75" customHeight="1">
      <c r="A488" s="59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</row>
    <row r="489" ht="15.75" customHeight="1">
      <c r="A489" s="59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</row>
    <row r="490" ht="15.75" customHeight="1">
      <c r="A490" s="59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</row>
    <row r="491" ht="15.75" customHeight="1">
      <c r="A491" s="59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</row>
    <row r="492" ht="15.75" customHeight="1">
      <c r="A492" s="59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</row>
    <row r="493" ht="15.75" customHeight="1">
      <c r="A493" s="59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</row>
    <row r="494" ht="15.75" customHeight="1">
      <c r="A494" s="59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</row>
    <row r="495" ht="15.75" customHeight="1">
      <c r="A495" s="59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</row>
    <row r="496" ht="15.75" customHeight="1">
      <c r="A496" s="59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</row>
    <row r="497" ht="15.75" customHeight="1">
      <c r="A497" s="59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</row>
    <row r="498" ht="15.75" customHeight="1">
      <c r="A498" s="59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</row>
    <row r="499" ht="15.75" customHeight="1">
      <c r="A499" s="59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</row>
    <row r="500" ht="15.75" customHeight="1">
      <c r="A500" s="59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</row>
    <row r="501" ht="15.75" customHeight="1">
      <c r="A501" s="59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</row>
    <row r="502" ht="15.75" customHeight="1">
      <c r="A502" s="59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</row>
    <row r="503" ht="15.75" customHeight="1">
      <c r="A503" s="59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</row>
    <row r="504" ht="15.75" customHeight="1">
      <c r="A504" s="59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</row>
    <row r="505" ht="15.75" customHeight="1">
      <c r="A505" s="59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</row>
    <row r="506" ht="15.75" customHeight="1">
      <c r="A506" s="59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</row>
    <row r="507" ht="15.75" customHeight="1">
      <c r="A507" s="59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</row>
    <row r="508" ht="15.75" customHeight="1">
      <c r="A508" s="59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</row>
    <row r="509" ht="15.75" customHeight="1">
      <c r="A509" s="59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</row>
    <row r="510" ht="15.75" customHeight="1">
      <c r="A510" s="59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</row>
    <row r="511" ht="15.75" customHeight="1">
      <c r="A511" s="59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</row>
    <row r="512" ht="15.75" customHeight="1">
      <c r="A512" s="59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</row>
    <row r="513" ht="15.75" customHeight="1">
      <c r="A513" s="59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</row>
    <row r="514" ht="15.75" customHeight="1">
      <c r="A514" s="59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</row>
    <row r="515" ht="15.75" customHeight="1">
      <c r="A515" s="59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</row>
    <row r="516" ht="15.75" customHeight="1">
      <c r="A516" s="59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</row>
    <row r="517" ht="15.75" customHeight="1">
      <c r="A517" s="59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</row>
    <row r="518" ht="15.75" customHeight="1">
      <c r="A518" s="59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</row>
    <row r="519" ht="15.75" customHeight="1">
      <c r="A519" s="59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</row>
    <row r="520" ht="15.75" customHeight="1">
      <c r="A520" s="59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</row>
    <row r="521" ht="15.75" customHeight="1">
      <c r="A521" s="59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</row>
    <row r="522" ht="15.75" customHeight="1">
      <c r="A522" s="59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</row>
    <row r="523" ht="15.75" customHeight="1">
      <c r="A523" s="59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</row>
    <row r="524" ht="15.75" customHeight="1">
      <c r="A524" s="59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</row>
    <row r="525" ht="15.75" customHeight="1">
      <c r="A525" s="59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</row>
    <row r="526" ht="15.75" customHeight="1">
      <c r="A526" s="59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</row>
    <row r="527" ht="15.75" customHeight="1">
      <c r="A527" s="59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</row>
    <row r="528" ht="15.75" customHeight="1">
      <c r="A528" s="59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</row>
    <row r="529" ht="15.75" customHeight="1">
      <c r="A529" s="59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</row>
    <row r="530" ht="15.75" customHeight="1">
      <c r="A530" s="59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</row>
    <row r="531" ht="15.75" customHeight="1">
      <c r="A531" s="59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</row>
    <row r="532" ht="15.75" customHeight="1">
      <c r="A532" s="59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</row>
    <row r="533" ht="15.75" customHeight="1">
      <c r="A533" s="59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</row>
    <row r="534" ht="15.75" customHeight="1">
      <c r="A534" s="59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</row>
    <row r="535" ht="15.75" customHeight="1">
      <c r="A535" s="59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</row>
    <row r="536" ht="15.75" customHeight="1">
      <c r="A536" s="59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</row>
    <row r="537" ht="15.75" customHeight="1">
      <c r="A537" s="59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</row>
    <row r="538" ht="15.75" customHeight="1">
      <c r="A538" s="59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</row>
    <row r="539" ht="15.75" customHeight="1">
      <c r="A539" s="59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</row>
    <row r="540" ht="15.75" customHeight="1">
      <c r="A540" s="59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</row>
    <row r="541" ht="15.75" customHeight="1">
      <c r="A541" s="59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</row>
    <row r="542" ht="15.75" customHeight="1">
      <c r="A542" s="59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</row>
    <row r="543" ht="15.75" customHeight="1">
      <c r="A543" s="59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</row>
    <row r="544" ht="15.75" customHeight="1">
      <c r="A544" s="59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</row>
    <row r="545" ht="15.75" customHeight="1">
      <c r="A545" s="59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</row>
    <row r="546" ht="15.75" customHeight="1">
      <c r="A546" s="59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</row>
    <row r="547" ht="15.75" customHeight="1">
      <c r="A547" s="59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</row>
    <row r="548" ht="15.75" customHeight="1">
      <c r="A548" s="59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</row>
    <row r="549" ht="15.75" customHeight="1">
      <c r="A549" s="59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</row>
    <row r="550" ht="15.75" customHeight="1">
      <c r="A550" s="59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</row>
    <row r="551" ht="15.75" customHeight="1">
      <c r="A551" s="59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</row>
    <row r="552" ht="15.75" customHeight="1">
      <c r="A552" s="59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</row>
    <row r="553" ht="15.75" customHeight="1">
      <c r="A553" s="59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</row>
    <row r="554" ht="15.75" customHeight="1">
      <c r="A554" s="59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</row>
    <row r="555" ht="15.75" customHeight="1">
      <c r="A555" s="59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</row>
    <row r="556" ht="15.75" customHeight="1">
      <c r="A556" s="59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</row>
    <row r="557" ht="15.75" customHeight="1">
      <c r="A557" s="59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</row>
    <row r="558" ht="15.75" customHeight="1">
      <c r="A558" s="59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</row>
    <row r="559" ht="15.75" customHeight="1">
      <c r="A559" s="59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</row>
    <row r="560" ht="15.75" customHeight="1">
      <c r="A560" s="59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</row>
    <row r="561" ht="15.75" customHeight="1">
      <c r="A561" s="59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</row>
    <row r="562" ht="15.75" customHeight="1">
      <c r="A562" s="59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</row>
    <row r="563" ht="15.75" customHeight="1">
      <c r="A563" s="59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</row>
    <row r="564" ht="15.75" customHeight="1">
      <c r="A564" s="59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</row>
    <row r="565" ht="15.75" customHeight="1">
      <c r="A565" s="59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</row>
    <row r="566" ht="15.75" customHeight="1">
      <c r="A566" s="59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</row>
    <row r="567" ht="15.75" customHeight="1">
      <c r="A567" s="59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</row>
    <row r="568" ht="15.75" customHeight="1">
      <c r="A568" s="59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</row>
    <row r="569" ht="15.75" customHeight="1">
      <c r="A569" s="59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</row>
    <row r="570" ht="15.75" customHeight="1">
      <c r="A570" s="59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</row>
    <row r="571" ht="15.75" customHeight="1">
      <c r="A571" s="59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</row>
    <row r="572" ht="15.75" customHeight="1">
      <c r="A572" s="59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</row>
    <row r="573" ht="15.75" customHeight="1">
      <c r="A573" s="59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</row>
    <row r="574" ht="15.75" customHeight="1">
      <c r="A574" s="59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</row>
    <row r="575" ht="15.75" customHeight="1">
      <c r="A575" s="59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</row>
    <row r="576" ht="15.75" customHeight="1">
      <c r="A576" s="59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</row>
    <row r="577" ht="15.75" customHeight="1">
      <c r="A577" s="59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</row>
    <row r="578" ht="15.75" customHeight="1">
      <c r="A578" s="59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</row>
    <row r="579" ht="15.75" customHeight="1">
      <c r="A579" s="59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</row>
    <row r="580" ht="15.75" customHeight="1">
      <c r="A580" s="59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</row>
    <row r="581" ht="15.75" customHeight="1">
      <c r="A581" s="59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</row>
    <row r="582" ht="15.75" customHeight="1">
      <c r="A582" s="59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</row>
    <row r="583" ht="15.75" customHeight="1">
      <c r="A583" s="59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</row>
    <row r="584" ht="15.75" customHeight="1">
      <c r="A584" s="59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</row>
    <row r="585" ht="15.75" customHeight="1">
      <c r="A585" s="59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</row>
    <row r="586" ht="15.75" customHeight="1">
      <c r="A586" s="59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</row>
    <row r="587" ht="15.75" customHeight="1">
      <c r="A587" s="59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</row>
    <row r="588" ht="15.75" customHeight="1">
      <c r="A588" s="59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</row>
    <row r="589" ht="15.75" customHeight="1">
      <c r="A589" s="59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</row>
    <row r="590" ht="15.75" customHeight="1">
      <c r="A590" s="59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</row>
    <row r="591" ht="15.75" customHeight="1">
      <c r="A591" s="59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</row>
    <row r="592" ht="15.75" customHeight="1">
      <c r="A592" s="59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</row>
    <row r="593" ht="15.75" customHeight="1">
      <c r="A593" s="59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</row>
    <row r="594" ht="15.75" customHeight="1">
      <c r="A594" s="59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</row>
    <row r="595" ht="15.75" customHeight="1">
      <c r="A595" s="59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</row>
    <row r="596" ht="15.75" customHeight="1">
      <c r="A596" s="59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</row>
    <row r="597" ht="15.75" customHeight="1">
      <c r="A597" s="59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</row>
    <row r="598" ht="15.75" customHeight="1">
      <c r="A598" s="59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</row>
    <row r="599" ht="15.75" customHeight="1">
      <c r="A599" s="59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</row>
    <row r="600" ht="15.75" customHeight="1">
      <c r="A600" s="59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</row>
    <row r="601" ht="15.75" customHeight="1">
      <c r="A601" s="59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</row>
    <row r="602" ht="15.75" customHeight="1">
      <c r="A602" s="59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</row>
    <row r="603" ht="15.75" customHeight="1">
      <c r="A603" s="59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</row>
    <row r="604" ht="15.75" customHeight="1">
      <c r="A604" s="59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</row>
    <row r="605" ht="15.75" customHeight="1">
      <c r="A605" s="59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</row>
    <row r="606" ht="15.75" customHeight="1">
      <c r="A606" s="59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</row>
    <row r="607" ht="15.75" customHeight="1">
      <c r="A607" s="59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</row>
    <row r="608" ht="15.75" customHeight="1">
      <c r="A608" s="59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</row>
    <row r="609" ht="15.75" customHeight="1">
      <c r="A609" s="59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</row>
    <row r="610" ht="15.75" customHeight="1">
      <c r="A610" s="59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</row>
    <row r="611" ht="15.75" customHeight="1">
      <c r="A611" s="59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</row>
    <row r="612" ht="15.75" customHeight="1">
      <c r="A612" s="59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</row>
    <row r="613" ht="15.75" customHeight="1">
      <c r="A613" s="59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</row>
    <row r="614" ht="15.75" customHeight="1">
      <c r="A614" s="59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</row>
    <row r="615" ht="15.75" customHeight="1">
      <c r="A615" s="59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</row>
    <row r="616" ht="15.75" customHeight="1">
      <c r="A616" s="59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</row>
    <row r="617" ht="15.75" customHeight="1">
      <c r="A617" s="59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</row>
    <row r="618" ht="15.75" customHeight="1">
      <c r="A618" s="59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</row>
    <row r="619" ht="15.75" customHeight="1">
      <c r="A619" s="59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</row>
    <row r="620" ht="15.75" customHeight="1">
      <c r="A620" s="59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</row>
    <row r="621" ht="15.75" customHeight="1">
      <c r="A621" s="59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</row>
    <row r="622" ht="15.75" customHeight="1">
      <c r="A622" s="59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</row>
    <row r="623" ht="15.75" customHeight="1">
      <c r="A623" s="59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</row>
    <row r="624" ht="15.75" customHeight="1">
      <c r="A624" s="59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</row>
    <row r="625" ht="15.75" customHeight="1">
      <c r="A625" s="59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</row>
    <row r="626" ht="15.75" customHeight="1">
      <c r="A626" s="59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</row>
    <row r="627" ht="15.75" customHeight="1">
      <c r="A627" s="59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</row>
    <row r="628" ht="15.75" customHeight="1">
      <c r="A628" s="59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</row>
    <row r="629" ht="15.75" customHeight="1">
      <c r="A629" s="59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</row>
    <row r="630" ht="15.75" customHeight="1">
      <c r="A630" s="59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</row>
    <row r="631" ht="15.75" customHeight="1">
      <c r="A631" s="59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</row>
    <row r="632" ht="15.75" customHeight="1">
      <c r="A632" s="59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</row>
    <row r="633" ht="15.75" customHeight="1">
      <c r="A633" s="59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</row>
    <row r="634" ht="15.75" customHeight="1">
      <c r="A634" s="59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</row>
    <row r="635" ht="15.75" customHeight="1">
      <c r="A635" s="59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</row>
    <row r="636" ht="15.75" customHeight="1">
      <c r="A636" s="59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</row>
    <row r="637" ht="15.75" customHeight="1">
      <c r="A637" s="59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</row>
    <row r="638" ht="15.75" customHeight="1">
      <c r="A638" s="59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</row>
    <row r="639" ht="15.75" customHeight="1">
      <c r="A639" s="59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</row>
    <row r="640" ht="15.75" customHeight="1">
      <c r="A640" s="59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</row>
    <row r="641" ht="15.75" customHeight="1">
      <c r="A641" s="59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</row>
    <row r="642" ht="15.75" customHeight="1">
      <c r="A642" s="59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</row>
    <row r="643" ht="15.75" customHeight="1">
      <c r="A643" s="59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</row>
    <row r="644" ht="15.75" customHeight="1">
      <c r="A644" s="59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</row>
    <row r="645" ht="15.75" customHeight="1">
      <c r="A645" s="59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</row>
    <row r="646" ht="15.75" customHeight="1">
      <c r="A646" s="59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</row>
    <row r="647" ht="15.75" customHeight="1">
      <c r="A647" s="59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</row>
    <row r="648" ht="15.75" customHeight="1">
      <c r="A648" s="59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</row>
    <row r="649" ht="15.75" customHeight="1">
      <c r="A649" s="59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</row>
    <row r="650" ht="15.75" customHeight="1">
      <c r="A650" s="59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</row>
    <row r="651" ht="15.75" customHeight="1">
      <c r="A651" s="59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</row>
    <row r="652" ht="15.75" customHeight="1">
      <c r="A652" s="59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</row>
    <row r="653" ht="15.75" customHeight="1">
      <c r="A653" s="59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</row>
    <row r="654" ht="15.75" customHeight="1">
      <c r="A654" s="59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</row>
    <row r="655" ht="15.75" customHeight="1">
      <c r="A655" s="59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</row>
    <row r="656" ht="15.75" customHeight="1">
      <c r="A656" s="59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</row>
    <row r="657" ht="15.75" customHeight="1">
      <c r="A657" s="59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</row>
    <row r="658" ht="15.75" customHeight="1">
      <c r="A658" s="59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</row>
    <row r="659" ht="15.75" customHeight="1">
      <c r="A659" s="59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</row>
    <row r="660" ht="15.75" customHeight="1">
      <c r="A660" s="59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</row>
    <row r="661" ht="15.75" customHeight="1">
      <c r="A661" s="59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</row>
    <row r="662" ht="15.75" customHeight="1">
      <c r="A662" s="59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</row>
    <row r="663" ht="15.75" customHeight="1">
      <c r="A663" s="59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</row>
    <row r="664" ht="15.75" customHeight="1">
      <c r="A664" s="59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</row>
    <row r="665" ht="15.75" customHeight="1">
      <c r="A665" s="59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</row>
    <row r="666" ht="15.75" customHeight="1">
      <c r="A666" s="59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</row>
    <row r="667" ht="15.75" customHeight="1">
      <c r="A667" s="59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</row>
    <row r="668" ht="15.75" customHeight="1">
      <c r="A668" s="59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</row>
    <row r="669" ht="15.75" customHeight="1">
      <c r="A669" s="59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</row>
    <row r="670" ht="15.75" customHeight="1">
      <c r="A670" s="59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</row>
    <row r="671" ht="15.75" customHeight="1">
      <c r="A671" s="59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</row>
    <row r="672" ht="15.75" customHeight="1">
      <c r="A672" s="59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</row>
    <row r="673" ht="15.75" customHeight="1">
      <c r="A673" s="59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</row>
    <row r="674" ht="15.75" customHeight="1">
      <c r="A674" s="59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</row>
    <row r="675" ht="15.75" customHeight="1">
      <c r="A675" s="59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</row>
    <row r="676" ht="15.75" customHeight="1">
      <c r="A676" s="59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</row>
    <row r="677" ht="15.75" customHeight="1">
      <c r="A677" s="59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</row>
    <row r="678" ht="15.75" customHeight="1">
      <c r="A678" s="59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</row>
    <row r="679" ht="15.75" customHeight="1">
      <c r="A679" s="59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</row>
    <row r="680" ht="15.75" customHeight="1">
      <c r="A680" s="59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</row>
    <row r="681" ht="15.75" customHeight="1">
      <c r="A681" s="59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</row>
    <row r="682" ht="15.75" customHeight="1">
      <c r="A682" s="59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</row>
    <row r="683" ht="15.75" customHeight="1">
      <c r="A683" s="59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</row>
    <row r="684" ht="15.75" customHeight="1">
      <c r="A684" s="59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</row>
    <row r="685" ht="15.75" customHeight="1">
      <c r="A685" s="59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</row>
    <row r="686" ht="15.75" customHeight="1">
      <c r="A686" s="59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</row>
    <row r="687" ht="15.75" customHeight="1">
      <c r="A687" s="59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</row>
    <row r="688" ht="15.75" customHeight="1">
      <c r="A688" s="59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</row>
    <row r="689" ht="15.75" customHeight="1">
      <c r="A689" s="59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</row>
    <row r="690" ht="15.75" customHeight="1">
      <c r="A690" s="59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</row>
    <row r="691" ht="15.75" customHeight="1">
      <c r="A691" s="59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</row>
    <row r="692" ht="15.75" customHeight="1">
      <c r="A692" s="59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</row>
    <row r="693" ht="15.75" customHeight="1">
      <c r="A693" s="59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</row>
    <row r="694" ht="15.75" customHeight="1">
      <c r="A694" s="59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</row>
    <row r="695" ht="15.75" customHeight="1">
      <c r="A695" s="59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</row>
    <row r="696" ht="15.75" customHeight="1">
      <c r="A696" s="59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</row>
    <row r="697" ht="15.75" customHeight="1">
      <c r="A697" s="59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</row>
    <row r="698" ht="15.75" customHeight="1">
      <c r="A698" s="59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</row>
    <row r="699" ht="15.75" customHeight="1">
      <c r="A699" s="59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</row>
    <row r="700" ht="15.75" customHeight="1">
      <c r="A700" s="59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</row>
    <row r="701" ht="15.75" customHeight="1">
      <c r="A701" s="59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</row>
    <row r="702" ht="15.75" customHeight="1">
      <c r="A702" s="59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</row>
    <row r="703" ht="15.75" customHeight="1">
      <c r="A703" s="59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</row>
    <row r="704" ht="15.75" customHeight="1">
      <c r="A704" s="59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</row>
    <row r="705" ht="15.75" customHeight="1">
      <c r="A705" s="59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</row>
    <row r="706" ht="15.75" customHeight="1">
      <c r="A706" s="59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</row>
    <row r="707" ht="15.75" customHeight="1">
      <c r="A707" s="59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</row>
    <row r="708" ht="15.75" customHeight="1">
      <c r="A708" s="59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</row>
    <row r="709" ht="15.75" customHeight="1">
      <c r="A709" s="59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</row>
    <row r="710" ht="15.75" customHeight="1">
      <c r="A710" s="59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</row>
    <row r="711" ht="15.75" customHeight="1">
      <c r="A711" s="59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</row>
    <row r="712" ht="15.75" customHeight="1">
      <c r="A712" s="59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</row>
    <row r="713" ht="15.75" customHeight="1">
      <c r="A713" s="59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</row>
    <row r="714" ht="15.75" customHeight="1">
      <c r="A714" s="59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</row>
    <row r="715" ht="15.75" customHeight="1">
      <c r="A715" s="59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</row>
    <row r="716" ht="15.75" customHeight="1">
      <c r="A716" s="59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</row>
    <row r="717" ht="15.75" customHeight="1">
      <c r="A717" s="59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</row>
    <row r="718" ht="15.75" customHeight="1">
      <c r="A718" s="59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</row>
    <row r="719" ht="15.75" customHeight="1">
      <c r="A719" s="59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</row>
    <row r="720" ht="15.75" customHeight="1">
      <c r="A720" s="59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</row>
    <row r="721" ht="15.75" customHeight="1">
      <c r="A721" s="59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</row>
    <row r="722" ht="15.75" customHeight="1">
      <c r="A722" s="59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</row>
    <row r="723" ht="15.75" customHeight="1">
      <c r="A723" s="59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</row>
    <row r="724" ht="15.75" customHeight="1">
      <c r="A724" s="59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</row>
    <row r="725" ht="15.75" customHeight="1">
      <c r="A725" s="59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</row>
    <row r="726" ht="15.75" customHeight="1">
      <c r="A726" s="59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</row>
    <row r="727" ht="15.75" customHeight="1">
      <c r="A727" s="59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</row>
    <row r="728" ht="15.75" customHeight="1">
      <c r="A728" s="59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</row>
    <row r="729" ht="15.75" customHeight="1">
      <c r="A729" s="59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</row>
    <row r="730" ht="15.75" customHeight="1">
      <c r="A730" s="59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</row>
    <row r="731" ht="15.75" customHeight="1">
      <c r="A731" s="59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</row>
    <row r="732" ht="15.75" customHeight="1">
      <c r="A732" s="59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</row>
    <row r="733" ht="15.75" customHeight="1">
      <c r="A733" s="59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</row>
    <row r="734" ht="15.75" customHeight="1">
      <c r="A734" s="59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</row>
    <row r="735" ht="15.75" customHeight="1">
      <c r="A735" s="59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</row>
    <row r="736" ht="15.75" customHeight="1">
      <c r="A736" s="59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</row>
    <row r="737" ht="15.75" customHeight="1">
      <c r="A737" s="59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</row>
    <row r="738" ht="15.75" customHeight="1">
      <c r="A738" s="59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</row>
    <row r="739" ht="15.75" customHeight="1">
      <c r="A739" s="59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</row>
    <row r="740" ht="15.75" customHeight="1">
      <c r="A740" s="59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</row>
    <row r="741" ht="15.75" customHeight="1">
      <c r="A741" s="59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</row>
    <row r="742" ht="15.75" customHeight="1">
      <c r="A742" s="59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</row>
    <row r="743" ht="15.75" customHeight="1">
      <c r="A743" s="59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</row>
    <row r="744" ht="15.75" customHeight="1">
      <c r="A744" s="59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</row>
    <row r="745" ht="15.75" customHeight="1">
      <c r="A745" s="59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</row>
    <row r="746" ht="15.75" customHeight="1">
      <c r="A746" s="59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</row>
    <row r="747" ht="15.75" customHeight="1">
      <c r="A747" s="59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</row>
    <row r="748" ht="15.75" customHeight="1">
      <c r="A748" s="59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</row>
    <row r="749" ht="15.75" customHeight="1">
      <c r="A749" s="59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</row>
    <row r="750" ht="15.75" customHeight="1">
      <c r="A750" s="59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</row>
    <row r="751" ht="15.75" customHeight="1">
      <c r="A751" s="59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</row>
    <row r="752" ht="15.75" customHeight="1">
      <c r="A752" s="59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</row>
    <row r="753" ht="15.75" customHeight="1">
      <c r="A753" s="59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</row>
    <row r="754" ht="15.75" customHeight="1">
      <c r="A754" s="59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</row>
    <row r="755" ht="15.75" customHeight="1">
      <c r="A755" s="59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</row>
    <row r="756" ht="15.75" customHeight="1">
      <c r="A756" s="59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</row>
    <row r="757" ht="15.75" customHeight="1">
      <c r="A757" s="59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</row>
    <row r="758" ht="15.75" customHeight="1">
      <c r="A758" s="59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</row>
    <row r="759" ht="15.75" customHeight="1">
      <c r="A759" s="59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</row>
    <row r="760" ht="15.75" customHeight="1">
      <c r="A760" s="59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</row>
    <row r="761" ht="15.75" customHeight="1">
      <c r="A761" s="59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</row>
    <row r="762" ht="15.75" customHeight="1">
      <c r="A762" s="59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</row>
    <row r="763" ht="15.75" customHeight="1">
      <c r="A763" s="59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</row>
    <row r="764" ht="15.75" customHeight="1">
      <c r="A764" s="59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</row>
    <row r="765" ht="15.75" customHeight="1">
      <c r="A765" s="59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</row>
    <row r="766" ht="15.75" customHeight="1">
      <c r="A766" s="59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</row>
    <row r="767" ht="15.75" customHeight="1">
      <c r="A767" s="59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</row>
    <row r="768" ht="15.75" customHeight="1">
      <c r="A768" s="59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</row>
    <row r="769" ht="15.75" customHeight="1">
      <c r="A769" s="59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</row>
    <row r="770" ht="15.75" customHeight="1">
      <c r="A770" s="59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</row>
    <row r="771" ht="15.75" customHeight="1">
      <c r="A771" s="59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</row>
    <row r="772" ht="15.75" customHeight="1">
      <c r="A772" s="59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</row>
    <row r="773" ht="15.75" customHeight="1">
      <c r="A773" s="59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</row>
    <row r="774" ht="15.75" customHeight="1">
      <c r="A774" s="59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</row>
    <row r="775" ht="15.75" customHeight="1">
      <c r="A775" s="59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</row>
    <row r="776" ht="15.75" customHeight="1">
      <c r="A776" s="59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</row>
    <row r="777" ht="15.75" customHeight="1">
      <c r="A777" s="59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</row>
    <row r="778" ht="15.75" customHeight="1">
      <c r="A778" s="59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</row>
    <row r="779" ht="15.75" customHeight="1">
      <c r="A779" s="59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</row>
    <row r="780" ht="15.75" customHeight="1">
      <c r="A780" s="59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</row>
    <row r="781" ht="15.75" customHeight="1">
      <c r="A781" s="59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</row>
    <row r="782" ht="15.75" customHeight="1">
      <c r="A782" s="59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</row>
    <row r="783" ht="15.75" customHeight="1">
      <c r="A783" s="59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</row>
    <row r="784" ht="15.75" customHeight="1">
      <c r="A784" s="59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</row>
    <row r="785" ht="15.75" customHeight="1">
      <c r="A785" s="59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</row>
    <row r="786" ht="15.75" customHeight="1">
      <c r="A786" s="59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</row>
    <row r="787" ht="15.75" customHeight="1">
      <c r="A787" s="59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</row>
    <row r="788" ht="15.75" customHeight="1">
      <c r="A788" s="59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</row>
    <row r="789" ht="15.75" customHeight="1">
      <c r="A789" s="59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</row>
    <row r="790" ht="15.75" customHeight="1">
      <c r="A790" s="59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</row>
    <row r="791" ht="15.75" customHeight="1">
      <c r="A791" s="59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</row>
    <row r="792" ht="15.75" customHeight="1">
      <c r="A792" s="59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</row>
    <row r="793" ht="15.75" customHeight="1">
      <c r="A793" s="59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</row>
    <row r="794" ht="15.75" customHeight="1">
      <c r="A794" s="59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</row>
    <row r="795" ht="15.75" customHeight="1">
      <c r="A795" s="59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</row>
    <row r="796" ht="15.75" customHeight="1">
      <c r="A796" s="59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</row>
    <row r="797" ht="15.75" customHeight="1">
      <c r="A797" s="59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</row>
    <row r="798" ht="15.75" customHeight="1">
      <c r="A798" s="59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</row>
    <row r="799" ht="15.75" customHeight="1">
      <c r="A799" s="59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</row>
    <row r="800" ht="15.75" customHeight="1">
      <c r="A800" s="59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</row>
    <row r="801" ht="15.75" customHeight="1">
      <c r="A801" s="59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</row>
    <row r="802" ht="15.75" customHeight="1">
      <c r="A802" s="59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</row>
    <row r="803" ht="15.75" customHeight="1">
      <c r="A803" s="59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</row>
    <row r="804" ht="15.75" customHeight="1">
      <c r="A804" s="59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</row>
    <row r="805" ht="15.75" customHeight="1">
      <c r="A805" s="59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</row>
    <row r="806" ht="15.75" customHeight="1">
      <c r="A806" s="59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</row>
    <row r="807" ht="15.75" customHeight="1">
      <c r="A807" s="59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</row>
    <row r="808" ht="15.75" customHeight="1">
      <c r="A808" s="59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</row>
    <row r="809" ht="15.75" customHeight="1">
      <c r="A809" s="59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</row>
    <row r="810" ht="15.75" customHeight="1">
      <c r="A810" s="59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</row>
    <row r="811" ht="15.75" customHeight="1">
      <c r="A811" s="59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</row>
    <row r="812" ht="15.75" customHeight="1">
      <c r="A812" s="59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</row>
    <row r="813" ht="15.75" customHeight="1">
      <c r="A813" s="59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</row>
    <row r="814" ht="15.75" customHeight="1">
      <c r="A814" s="59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</row>
    <row r="815" ht="15.75" customHeight="1">
      <c r="A815" s="59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</row>
    <row r="816" ht="15.75" customHeight="1">
      <c r="A816" s="59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</row>
    <row r="817" ht="15.75" customHeight="1">
      <c r="A817" s="59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</row>
    <row r="818" ht="15.75" customHeight="1">
      <c r="A818" s="59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</row>
    <row r="819" ht="15.75" customHeight="1">
      <c r="A819" s="59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</row>
    <row r="820" ht="15.75" customHeight="1">
      <c r="A820" s="59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</row>
    <row r="821" ht="15.75" customHeight="1">
      <c r="A821" s="59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</row>
    <row r="822" ht="15.75" customHeight="1">
      <c r="A822" s="59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</row>
    <row r="823" ht="15.75" customHeight="1">
      <c r="A823" s="59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</row>
    <row r="824" ht="15.75" customHeight="1">
      <c r="A824" s="59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</row>
    <row r="825" ht="15.75" customHeight="1">
      <c r="A825" s="59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</row>
    <row r="826" ht="15.75" customHeight="1">
      <c r="A826" s="59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</row>
    <row r="827" ht="15.75" customHeight="1">
      <c r="A827" s="59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</row>
    <row r="828" ht="15.75" customHeight="1">
      <c r="A828" s="59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</row>
    <row r="829" ht="15.75" customHeight="1">
      <c r="A829" s="59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</row>
    <row r="830" ht="15.75" customHeight="1">
      <c r="A830" s="59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</row>
    <row r="831" ht="15.75" customHeight="1">
      <c r="A831" s="59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</row>
    <row r="832" ht="15.75" customHeight="1">
      <c r="A832" s="59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</row>
    <row r="833" ht="15.75" customHeight="1">
      <c r="A833" s="59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</row>
    <row r="834" ht="15.75" customHeight="1">
      <c r="A834" s="59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</row>
    <row r="835" ht="15.75" customHeight="1">
      <c r="A835" s="59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</row>
    <row r="836" ht="15.75" customHeight="1">
      <c r="A836" s="59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</row>
    <row r="837" ht="15.75" customHeight="1">
      <c r="A837" s="59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</row>
    <row r="838" ht="15.75" customHeight="1">
      <c r="A838" s="59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</row>
    <row r="839" ht="15.75" customHeight="1">
      <c r="A839" s="59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</row>
    <row r="840" ht="15.75" customHeight="1">
      <c r="A840" s="59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</row>
    <row r="841" ht="15.75" customHeight="1">
      <c r="A841" s="59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</row>
    <row r="842" ht="15.75" customHeight="1">
      <c r="A842" s="59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</row>
    <row r="843" ht="15.75" customHeight="1">
      <c r="A843" s="59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</row>
    <row r="844" ht="15.75" customHeight="1">
      <c r="A844" s="59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</row>
    <row r="845" ht="15.75" customHeight="1">
      <c r="A845" s="59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</row>
    <row r="846" ht="15.75" customHeight="1">
      <c r="A846" s="59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</row>
    <row r="847" ht="15.75" customHeight="1">
      <c r="A847" s="59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</row>
    <row r="848" ht="15.75" customHeight="1">
      <c r="A848" s="59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</row>
    <row r="849" ht="15.75" customHeight="1">
      <c r="A849" s="59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</row>
    <row r="850" ht="15.75" customHeight="1">
      <c r="A850" s="59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</row>
    <row r="851" ht="15.75" customHeight="1">
      <c r="A851" s="59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</row>
    <row r="852" ht="15.75" customHeight="1">
      <c r="A852" s="59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</row>
    <row r="853" ht="15.75" customHeight="1">
      <c r="A853" s="59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</row>
    <row r="854" ht="15.75" customHeight="1">
      <c r="A854" s="59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</row>
    <row r="855" ht="15.75" customHeight="1">
      <c r="A855" s="59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</row>
    <row r="856" ht="15.75" customHeight="1">
      <c r="A856" s="59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</row>
    <row r="857" ht="15.75" customHeight="1">
      <c r="A857" s="59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</row>
    <row r="858" ht="15.75" customHeight="1">
      <c r="A858" s="59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</row>
    <row r="859" ht="15.75" customHeight="1">
      <c r="A859" s="59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</row>
    <row r="860" ht="15.75" customHeight="1">
      <c r="A860" s="59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</row>
    <row r="861" ht="15.75" customHeight="1">
      <c r="A861" s="59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</row>
    <row r="862" ht="15.75" customHeight="1">
      <c r="A862" s="59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</row>
    <row r="863" ht="15.75" customHeight="1">
      <c r="A863" s="59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</row>
    <row r="864" ht="15.75" customHeight="1">
      <c r="A864" s="59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</row>
    <row r="865" ht="15.75" customHeight="1">
      <c r="A865" s="59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</row>
    <row r="866" ht="15.75" customHeight="1">
      <c r="A866" s="59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</row>
    <row r="867" ht="15.75" customHeight="1">
      <c r="A867" s="59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</row>
    <row r="868" ht="15.75" customHeight="1">
      <c r="A868" s="59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</row>
    <row r="869" ht="15.75" customHeight="1">
      <c r="A869" s="59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</row>
    <row r="870" ht="15.75" customHeight="1">
      <c r="A870" s="59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</row>
    <row r="871" ht="15.75" customHeight="1">
      <c r="A871" s="59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</row>
    <row r="872" ht="15.75" customHeight="1">
      <c r="A872" s="59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</row>
    <row r="873" ht="15.75" customHeight="1">
      <c r="A873" s="59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</row>
    <row r="874" ht="15.75" customHeight="1">
      <c r="A874" s="59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</row>
    <row r="875" ht="15.75" customHeight="1">
      <c r="A875" s="59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</row>
    <row r="876" ht="15.75" customHeight="1">
      <c r="A876" s="59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</row>
    <row r="877" ht="15.75" customHeight="1">
      <c r="A877" s="59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</row>
    <row r="878" ht="15.75" customHeight="1">
      <c r="A878" s="59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</row>
    <row r="879" ht="15.75" customHeight="1">
      <c r="A879" s="59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</row>
    <row r="880" ht="15.75" customHeight="1">
      <c r="A880" s="59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</row>
    <row r="881" ht="15.75" customHeight="1">
      <c r="A881" s="59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</row>
    <row r="882" ht="15.75" customHeight="1">
      <c r="A882" s="59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</row>
    <row r="883" ht="15.75" customHeight="1">
      <c r="A883" s="59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</row>
    <row r="884" ht="15.75" customHeight="1">
      <c r="A884" s="59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</row>
    <row r="885" ht="15.75" customHeight="1">
      <c r="A885" s="59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</row>
    <row r="886" ht="15.75" customHeight="1">
      <c r="A886" s="59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</row>
    <row r="887" ht="15.75" customHeight="1">
      <c r="A887" s="59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</row>
    <row r="888" ht="15.75" customHeight="1">
      <c r="A888" s="59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</row>
    <row r="889" ht="15.75" customHeight="1">
      <c r="A889" s="59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</row>
    <row r="890" ht="15.75" customHeight="1">
      <c r="A890" s="59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</row>
    <row r="891" ht="15.75" customHeight="1">
      <c r="A891" s="59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</row>
    <row r="892" ht="15.75" customHeight="1">
      <c r="A892" s="59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</row>
    <row r="893" ht="15.75" customHeight="1">
      <c r="A893" s="59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</row>
    <row r="894" ht="15.75" customHeight="1">
      <c r="A894" s="59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</row>
    <row r="895" ht="15.75" customHeight="1">
      <c r="A895" s="59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</row>
    <row r="896" ht="15.75" customHeight="1">
      <c r="A896" s="59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</row>
    <row r="897" ht="15.75" customHeight="1">
      <c r="A897" s="59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</row>
    <row r="898" ht="15.75" customHeight="1">
      <c r="A898" s="59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</row>
    <row r="899" ht="15.75" customHeight="1">
      <c r="A899" s="59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</row>
    <row r="900" ht="15.75" customHeight="1">
      <c r="A900" s="59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</row>
    <row r="901" ht="15.75" customHeight="1">
      <c r="A901" s="59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</row>
    <row r="902" ht="15.75" customHeight="1">
      <c r="A902" s="59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</row>
    <row r="903" ht="15.75" customHeight="1">
      <c r="A903" s="59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</row>
    <row r="904" ht="15.75" customHeight="1">
      <c r="A904" s="59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</row>
    <row r="905" ht="15.75" customHeight="1">
      <c r="A905" s="59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</row>
    <row r="906" ht="15.75" customHeight="1">
      <c r="A906" s="59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</row>
    <row r="907" ht="15.75" customHeight="1">
      <c r="A907" s="59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</row>
    <row r="908" ht="15.75" customHeight="1">
      <c r="A908" s="59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</row>
    <row r="909" ht="15.75" customHeight="1">
      <c r="A909" s="59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</row>
    <row r="910" ht="15.75" customHeight="1">
      <c r="A910" s="59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</row>
    <row r="911" ht="15.75" customHeight="1">
      <c r="A911" s="59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</row>
    <row r="912" ht="15.75" customHeight="1">
      <c r="A912" s="59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</row>
    <row r="913" ht="15.75" customHeight="1">
      <c r="A913" s="59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</row>
    <row r="914" ht="15.75" customHeight="1">
      <c r="A914" s="59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</row>
    <row r="915" ht="15.75" customHeight="1">
      <c r="A915" s="59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</row>
    <row r="916" ht="15.75" customHeight="1">
      <c r="A916" s="59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</row>
    <row r="917" ht="15.75" customHeight="1">
      <c r="A917" s="59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</row>
    <row r="918" ht="15.75" customHeight="1">
      <c r="A918" s="59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</row>
    <row r="919" ht="15.75" customHeight="1">
      <c r="A919" s="59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</row>
    <row r="920" ht="15.75" customHeight="1">
      <c r="A920" s="59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</row>
    <row r="921" ht="15.75" customHeight="1">
      <c r="A921" s="59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</row>
    <row r="922" ht="15.75" customHeight="1">
      <c r="A922" s="59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</row>
    <row r="923" ht="15.75" customHeight="1">
      <c r="A923" s="59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</row>
    <row r="924" ht="15.75" customHeight="1">
      <c r="A924" s="59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</row>
    <row r="925" ht="15.75" customHeight="1">
      <c r="A925" s="59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</row>
    <row r="926" ht="15.75" customHeight="1">
      <c r="A926" s="59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</row>
    <row r="927" ht="15.75" customHeight="1">
      <c r="A927" s="59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</row>
    <row r="928" ht="15.75" customHeight="1">
      <c r="A928" s="59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</row>
    <row r="929" ht="15.75" customHeight="1">
      <c r="A929" s="59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</row>
    <row r="930" ht="15.75" customHeight="1">
      <c r="A930" s="59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</row>
    <row r="931" ht="15.75" customHeight="1">
      <c r="A931" s="59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</row>
    <row r="932" ht="15.75" customHeight="1">
      <c r="A932" s="59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</row>
    <row r="933" ht="15.75" customHeight="1">
      <c r="A933" s="59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</row>
    <row r="934" ht="15.75" customHeight="1">
      <c r="A934" s="59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</row>
    <row r="935" ht="15.75" customHeight="1">
      <c r="A935" s="59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</row>
    <row r="936" ht="15.75" customHeight="1">
      <c r="A936" s="59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</row>
    <row r="937" ht="15.75" customHeight="1">
      <c r="A937" s="59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</row>
    <row r="938" ht="15.75" customHeight="1">
      <c r="A938" s="59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</row>
    <row r="939" ht="15.75" customHeight="1">
      <c r="A939" s="59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</row>
    <row r="940" ht="15.75" customHeight="1">
      <c r="A940" s="59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</row>
    <row r="941" ht="15.75" customHeight="1">
      <c r="A941" s="59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</row>
    <row r="942" ht="15.75" customHeight="1">
      <c r="A942" s="59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</row>
    <row r="943" ht="15.75" customHeight="1">
      <c r="A943" s="59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</row>
    <row r="944" ht="15.75" customHeight="1">
      <c r="A944" s="59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</row>
    <row r="945" ht="15.75" customHeight="1">
      <c r="A945" s="59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</row>
    <row r="946" ht="15.75" customHeight="1">
      <c r="A946" s="59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</row>
    <row r="947" ht="15.75" customHeight="1">
      <c r="A947" s="59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</row>
    <row r="948" ht="15.75" customHeight="1">
      <c r="A948" s="59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</row>
    <row r="949" ht="15.75" customHeight="1">
      <c r="A949" s="59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</row>
    <row r="950" ht="15.75" customHeight="1">
      <c r="A950" s="59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</row>
    <row r="951" ht="15.75" customHeight="1">
      <c r="A951" s="59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</row>
    <row r="952" ht="15.75" customHeight="1">
      <c r="A952" s="59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</row>
    <row r="953" ht="15.75" customHeight="1">
      <c r="A953" s="59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</row>
    <row r="954" ht="15.75" customHeight="1">
      <c r="A954" s="59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</row>
    <row r="955" ht="15.75" customHeight="1">
      <c r="A955" s="59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</row>
    <row r="956" ht="15.75" customHeight="1">
      <c r="A956" s="59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</row>
    <row r="957" ht="15.75" customHeight="1">
      <c r="A957" s="59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</row>
    <row r="958" ht="15.75" customHeight="1">
      <c r="A958" s="59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</row>
    <row r="959" ht="15.75" customHeight="1">
      <c r="A959" s="59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</row>
    <row r="960" ht="15.75" customHeight="1">
      <c r="A960" s="59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</row>
    <row r="961" ht="15.75" customHeight="1">
      <c r="A961" s="59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</row>
    <row r="962" ht="15.75" customHeight="1">
      <c r="A962" s="59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</row>
    <row r="963" ht="15.75" customHeight="1">
      <c r="A963" s="59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</row>
    <row r="964" ht="15.75" customHeight="1">
      <c r="A964" s="59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</row>
    <row r="965" ht="15.75" customHeight="1">
      <c r="A965" s="59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</row>
    <row r="966" ht="15.75" customHeight="1">
      <c r="A966" s="59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</row>
    <row r="967" ht="15.75" customHeight="1">
      <c r="A967" s="59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</row>
    <row r="968" ht="15.75" customHeight="1">
      <c r="A968" s="59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</row>
    <row r="969" ht="15.75" customHeight="1">
      <c r="A969" s="59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</row>
    <row r="970" ht="15.75" customHeight="1">
      <c r="A970" s="59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</row>
    <row r="971" ht="15.75" customHeight="1">
      <c r="A971" s="59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</row>
    <row r="972" ht="15.75" customHeight="1">
      <c r="A972" s="59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</row>
    <row r="973" ht="15.75" customHeight="1">
      <c r="A973" s="59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</row>
    <row r="974" ht="15.75" customHeight="1">
      <c r="A974" s="59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</row>
    <row r="975" ht="15.75" customHeight="1">
      <c r="A975" s="59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</row>
    <row r="976" ht="15.75" customHeight="1">
      <c r="A976" s="59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</row>
    <row r="977" ht="15.75" customHeight="1">
      <c r="A977" s="59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</row>
    <row r="978" ht="15.75" customHeight="1">
      <c r="A978" s="59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</row>
    <row r="979" ht="15.75" customHeight="1">
      <c r="A979" s="59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</row>
    <row r="980" ht="15.75" customHeight="1">
      <c r="A980" s="59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</row>
    <row r="981" ht="15.75" customHeight="1">
      <c r="A981" s="59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</row>
    <row r="982" ht="15.75" customHeight="1">
      <c r="A982" s="59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</row>
    <row r="983" ht="15.75" customHeight="1">
      <c r="A983" s="59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</row>
    <row r="984" ht="15.75" customHeight="1">
      <c r="A984" s="59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</row>
    <row r="985" ht="15.75" customHeight="1">
      <c r="A985" s="59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</row>
    <row r="986" ht="15.75" customHeight="1">
      <c r="A986" s="59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</row>
    <row r="987" ht="15.75" customHeight="1">
      <c r="A987" s="59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</row>
    <row r="988" ht="15.75" customHeight="1">
      <c r="A988" s="59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</row>
    <row r="989" ht="15.75" customHeight="1">
      <c r="A989" s="59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</row>
    <row r="990" ht="15.75" customHeight="1">
      <c r="A990" s="59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</row>
    <row r="991" ht="15.75" customHeight="1">
      <c r="A991" s="59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</row>
    <row r="992" ht="15.75" customHeight="1">
      <c r="A992" s="59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</row>
    <row r="993" ht="15.75" customHeight="1">
      <c r="A993" s="59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</row>
    <row r="994" ht="15.75" customHeight="1">
      <c r="A994" s="59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</row>
    <row r="995" ht="15.75" customHeight="1">
      <c r="A995" s="59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</row>
    <row r="996" ht="15.75" customHeight="1">
      <c r="A996" s="59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</row>
    <row r="997" ht="15.75" customHeight="1">
      <c r="A997" s="59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</row>
    <row r="998" ht="15.75" customHeight="1">
      <c r="A998" s="59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</row>
    <row r="999" ht="15.75" customHeight="1">
      <c r="A999" s="59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</row>
    <row r="1000" ht="15.75" customHeight="1">
      <c r="A1000" s="59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</row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25"/>
  </cols>
  <sheetData>
    <row r="1" ht="15.75" customHeight="1">
      <c r="A1" s="53" t="s">
        <v>4</v>
      </c>
      <c r="B1" s="47">
        <v>45717.0</v>
      </c>
      <c r="C1" s="47">
        <v>45748.0</v>
      </c>
      <c r="D1" s="57">
        <v>45778.0</v>
      </c>
      <c r="E1" s="47">
        <v>45809.0</v>
      </c>
      <c r="F1" s="47">
        <v>45839.0</v>
      </c>
      <c r="G1" s="57">
        <v>45870.0</v>
      </c>
      <c r="H1" s="47">
        <v>45901.0</v>
      </c>
      <c r="I1" s="47">
        <v>45931.0</v>
      </c>
      <c r="J1" s="57">
        <v>45962.0</v>
      </c>
      <c r="K1" s="47">
        <v>45992.0</v>
      </c>
      <c r="L1" s="47">
        <v>46023.0</v>
      </c>
      <c r="M1" s="57">
        <v>46054.0</v>
      </c>
      <c r="N1" s="47">
        <v>46082.0</v>
      </c>
      <c r="O1" s="57"/>
      <c r="P1" s="57"/>
      <c r="Q1" s="57"/>
      <c r="R1" s="57"/>
      <c r="S1" s="57"/>
      <c r="T1" s="57"/>
      <c r="U1" s="57"/>
      <c r="V1" s="57"/>
    </row>
    <row r="2" ht="15.75" customHeight="1">
      <c r="A2" s="54" t="s">
        <v>11</v>
      </c>
      <c r="B2" s="51">
        <v>0.0</v>
      </c>
      <c r="C2" s="51">
        <v>0.0</v>
      </c>
      <c r="D2" s="51">
        <v>0.0</v>
      </c>
      <c r="E2" s="51">
        <v>0.0</v>
      </c>
      <c r="F2" s="51">
        <v>0.0</v>
      </c>
      <c r="G2" s="51">
        <v>0.0</v>
      </c>
      <c r="H2" s="51">
        <v>0.0</v>
      </c>
      <c r="I2" s="51">
        <v>0.0</v>
      </c>
      <c r="J2" s="45">
        <f t="shared" ref="J2:J6" si="1">I2*95%</f>
        <v>0</v>
      </c>
      <c r="K2" s="51">
        <v>0.0</v>
      </c>
      <c r="L2" s="51">
        <v>0.0</v>
      </c>
      <c r="M2" s="45">
        <v>0.0</v>
      </c>
      <c r="N2" s="51">
        <v>0.0</v>
      </c>
      <c r="O2" s="45"/>
      <c r="P2" s="45"/>
      <c r="Q2" s="45"/>
      <c r="R2" s="45"/>
      <c r="S2" s="45"/>
      <c r="T2" s="45"/>
      <c r="U2" s="45"/>
      <c r="V2" s="45"/>
    </row>
    <row r="3" ht="15.75" customHeight="1">
      <c r="A3" s="54" t="s">
        <v>13</v>
      </c>
      <c r="B3" s="51">
        <v>66.93</v>
      </c>
      <c r="C3" s="51">
        <v>85.1</v>
      </c>
      <c r="D3" s="51">
        <v>82.8</v>
      </c>
      <c r="E3" s="51">
        <v>96.74</v>
      </c>
      <c r="F3" s="51">
        <v>93.89</v>
      </c>
      <c r="G3" s="51">
        <v>215.35</v>
      </c>
      <c r="H3" s="51">
        <v>69.57</v>
      </c>
      <c r="I3" s="51">
        <v>61.29</v>
      </c>
      <c r="J3" s="45">
        <f t="shared" si="1"/>
        <v>58.2255</v>
      </c>
      <c r="K3" s="51">
        <v>5.69</v>
      </c>
      <c r="L3" s="51">
        <v>6.0</v>
      </c>
      <c r="M3" s="45">
        <v>5.97</v>
      </c>
      <c r="N3" s="51">
        <v>0.0</v>
      </c>
      <c r="O3" s="45"/>
      <c r="P3" s="45"/>
      <c r="Q3" s="45"/>
      <c r="R3" s="45"/>
      <c r="S3" s="45"/>
      <c r="T3" s="45"/>
      <c r="U3" s="45"/>
      <c r="V3" s="45"/>
    </row>
    <row r="4" ht="15.75" customHeight="1">
      <c r="A4" s="54" t="s">
        <v>21</v>
      </c>
      <c r="B4" s="51">
        <v>102.95</v>
      </c>
      <c r="C4" s="51">
        <v>186.39</v>
      </c>
      <c r="D4" s="51">
        <v>271.01</v>
      </c>
      <c r="E4" s="51">
        <v>328.67</v>
      </c>
      <c r="F4" s="51">
        <v>464.74</v>
      </c>
      <c r="G4" s="51">
        <v>563.9</v>
      </c>
      <c r="H4" s="51">
        <v>527.68</v>
      </c>
      <c r="I4" s="51">
        <v>593.61</v>
      </c>
      <c r="J4" s="45">
        <f t="shared" si="1"/>
        <v>563.9295</v>
      </c>
      <c r="K4" s="51">
        <v>264.51</v>
      </c>
      <c r="L4" s="51">
        <f>1267.76-688.42</f>
        <v>579.34</v>
      </c>
      <c r="M4" s="45">
        <v>439.86</v>
      </c>
      <c r="N4" s="51">
        <v>130.85</v>
      </c>
      <c r="O4" s="45"/>
      <c r="P4" s="45"/>
      <c r="Q4" s="45"/>
      <c r="R4" s="45"/>
      <c r="S4" s="45"/>
      <c r="T4" s="45"/>
      <c r="U4" s="45"/>
      <c r="V4" s="45"/>
    </row>
    <row r="5" ht="15.75" customHeight="1">
      <c r="A5" s="54" t="s">
        <v>16</v>
      </c>
      <c r="B5" s="51">
        <v>133.71</v>
      </c>
      <c r="C5" s="51">
        <v>100.72</v>
      </c>
      <c r="D5" s="51">
        <v>47.9</v>
      </c>
      <c r="E5" s="51">
        <v>161.43</v>
      </c>
      <c r="F5" s="51">
        <v>161.55</v>
      </c>
      <c r="G5" s="51">
        <v>504.49</v>
      </c>
      <c r="H5" s="51">
        <v>144.19</v>
      </c>
      <c r="I5" s="51">
        <v>94.35</v>
      </c>
      <c r="J5" s="45">
        <f t="shared" si="1"/>
        <v>89.6325</v>
      </c>
      <c r="K5" s="51">
        <v>124.97</v>
      </c>
      <c r="L5" s="51">
        <v>87.73</v>
      </c>
      <c r="M5" s="45">
        <v>96.5</v>
      </c>
      <c r="N5" s="51">
        <v>70.98</v>
      </c>
      <c r="O5" s="45"/>
      <c r="P5" s="45"/>
      <c r="Q5" s="45"/>
      <c r="R5" s="45"/>
      <c r="S5" s="45"/>
      <c r="T5" s="45"/>
      <c r="U5" s="45"/>
      <c r="V5" s="45"/>
    </row>
    <row r="6" ht="15.75" customHeight="1">
      <c r="A6" s="54" t="s">
        <v>18</v>
      </c>
      <c r="B6" s="51">
        <v>871.31</v>
      </c>
      <c r="C6" s="51">
        <v>1010.71</v>
      </c>
      <c r="D6" s="51">
        <v>935.69</v>
      </c>
      <c r="E6" s="51">
        <v>709.21</v>
      </c>
      <c r="F6" s="51">
        <v>612.2</v>
      </c>
      <c r="G6" s="51">
        <v>899.92</v>
      </c>
      <c r="H6" s="51">
        <v>880.67</v>
      </c>
      <c r="I6" s="51">
        <v>884.73</v>
      </c>
      <c r="J6" s="45">
        <f t="shared" si="1"/>
        <v>840.4935</v>
      </c>
      <c r="K6" s="51">
        <v>873.7</v>
      </c>
      <c r="L6" s="51">
        <v>891.41</v>
      </c>
      <c r="M6" s="45">
        <v>878.88</v>
      </c>
      <c r="N6" s="51">
        <v>440.15</v>
      </c>
      <c r="O6" s="45"/>
      <c r="P6" s="45"/>
      <c r="Q6" s="45"/>
      <c r="R6" s="45"/>
      <c r="S6" s="45"/>
      <c r="T6" s="45"/>
      <c r="U6" s="45"/>
      <c r="V6" s="45"/>
    </row>
    <row r="7" ht="15.75" customHeight="1">
      <c r="A7" s="59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</row>
    <row r="8" ht="15.75" customHeight="1">
      <c r="A8" s="59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</row>
    <row r="9" ht="15.75" customHeight="1">
      <c r="A9" s="59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</row>
    <row r="10" ht="15.75" customHeight="1">
      <c r="A10" s="59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</row>
    <row r="11" ht="15.75" customHeight="1">
      <c r="A11" s="59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</row>
    <row r="12" ht="15.75" customHeight="1">
      <c r="A12" s="59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</row>
    <row r="13" ht="15.75" customHeight="1">
      <c r="A13" s="59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</row>
    <row r="14" ht="15.75" customHeight="1">
      <c r="A14" s="59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</row>
    <row r="15" ht="15.75" customHeight="1">
      <c r="A15" s="59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</row>
    <row r="16" ht="15.75" customHeight="1">
      <c r="A16" s="59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ht="15.75" customHeight="1">
      <c r="A17" s="59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</row>
    <row r="18" ht="15.75" customHeight="1">
      <c r="A18" s="59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</row>
    <row r="19" ht="15.75" customHeight="1">
      <c r="A19" s="59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</row>
    <row r="20" ht="15.75" customHeight="1">
      <c r="A20" s="59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</row>
    <row r="21" ht="15.75" customHeight="1">
      <c r="A21" s="59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</row>
    <row r="22" ht="15.75" customHeight="1">
      <c r="A22" s="59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</row>
    <row r="23" ht="15.75" customHeight="1">
      <c r="A23" s="59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</row>
    <row r="24" ht="15.75" customHeight="1">
      <c r="A24" s="59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</row>
    <row r="25" ht="15.75" customHeight="1">
      <c r="A25" s="59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</row>
    <row r="26" ht="15.75" customHeight="1">
      <c r="A26" s="59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</row>
    <row r="27" ht="15.75" customHeight="1">
      <c r="A27" s="59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</row>
    <row r="28" ht="15.75" customHeight="1">
      <c r="A28" s="59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</row>
    <row r="29" ht="15.75" customHeight="1">
      <c r="A29" s="59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</row>
    <row r="30" ht="15.75" customHeight="1">
      <c r="A30" s="59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</row>
    <row r="31" ht="15.75" customHeight="1">
      <c r="A31" s="59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</row>
    <row r="32" ht="15.75" customHeight="1">
      <c r="A32" s="59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</row>
    <row r="33" ht="15.75" customHeight="1">
      <c r="A33" s="59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</row>
    <row r="34" ht="15.75" customHeight="1">
      <c r="A34" s="59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</row>
    <row r="35" ht="15.75" customHeight="1">
      <c r="A35" s="59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</row>
    <row r="36" ht="15.75" customHeight="1">
      <c r="A36" s="59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</row>
    <row r="37" ht="15.75" customHeight="1">
      <c r="A37" s="59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</row>
    <row r="38" ht="15.75" customHeight="1">
      <c r="A38" s="59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</row>
    <row r="39" ht="15.75" customHeight="1">
      <c r="A39" s="59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</row>
    <row r="40" ht="15.75" customHeight="1">
      <c r="A40" s="59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</row>
    <row r="41" ht="15.75" customHeight="1">
      <c r="A41" s="59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</row>
    <row r="42" ht="15.75" customHeight="1">
      <c r="A42" s="59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</row>
    <row r="43" ht="15.75" customHeight="1">
      <c r="A43" s="59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</row>
    <row r="44" ht="15.75" customHeight="1">
      <c r="A44" s="59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</row>
    <row r="45" ht="15.75" customHeight="1">
      <c r="A45" s="59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</row>
    <row r="46" ht="15.75" customHeight="1">
      <c r="A46" s="59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</row>
    <row r="47" ht="15.75" customHeight="1">
      <c r="A47" s="59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</row>
    <row r="48" ht="15.75" customHeight="1">
      <c r="A48" s="59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</row>
    <row r="49" ht="15.75" customHeight="1">
      <c r="A49" s="59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</row>
    <row r="50" ht="15.75" customHeight="1">
      <c r="A50" s="5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</row>
    <row r="51" ht="15.75" customHeight="1">
      <c r="A51" s="5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</row>
    <row r="52" ht="15.75" customHeight="1">
      <c r="A52" s="59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</row>
    <row r="53" ht="15.75" customHeight="1">
      <c r="A53" s="59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</row>
    <row r="54" ht="15.75" customHeight="1">
      <c r="A54" s="59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</row>
    <row r="55" ht="15.75" customHeight="1">
      <c r="A55" s="59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</row>
    <row r="56" ht="15.75" customHeight="1">
      <c r="A56" s="59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</row>
    <row r="57" ht="15.75" customHeight="1">
      <c r="A57" s="59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</row>
    <row r="58" ht="15.75" customHeight="1">
      <c r="A58" s="59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</row>
    <row r="59" ht="15.75" customHeight="1">
      <c r="A59" s="59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</row>
    <row r="60" ht="15.75" customHeight="1">
      <c r="A60" s="59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</row>
    <row r="61" ht="15.75" customHeight="1">
      <c r="A61" s="59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</row>
    <row r="62" ht="15.75" customHeight="1">
      <c r="A62" s="59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</row>
    <row r="63" ht="15.75" customHeight="1">
      <c r="A63" s="59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</row>
    <row r="64" ht="15.75" customHeight="1">
      <c r="A64" s="59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</row>
    <row r="65" ht="15.75" customHeight="1">
      <c r="A65" s="59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</row>
    <row r="66" ht="15.75" customHeight="1">
      <c r="A66" s="59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</row>
    <row r="67" ht="15.75" customHeight="1">
      <c r="A67" s="59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</row>
    <row r="68" ht="15.75" customHeight="1">
      <c r="A68" s="59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</row>
    <row r="69" ht="15.75" customHeight="1">
      <c r="A69" s="59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</row>
    <row r="70" ht="15.75" customHeight="1">
      <c r="A70" s="59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</row>
    <row r="71" ht="15.75" customHeight="1">
      <c r="A71" s="59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</row>
    <row r="72" ht="15.75" customHeight="1">
      <c r="A72" s="59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</row>
    <row r="73" ht="15.75" customHeight="1">
      <c r="A73" s="59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</row>
    <row r="74" ht="15.75" customHeight="1">
      <c r="A74" s="59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</row>
    <row r="75" ht="15.75" customHeight="1">
      <c r="A75" s="59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</row>
    <row r="76" ht="15.75" customHeight="1">
      <c r="A76" s="59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</row>
    <row r="77" ht="15.75" customHeight="1">
      <c r="A77" s="59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</row>
    <row r="78" ht="15.75" customHeight="1">
      <c r="A78" s="59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</row>
    <row r="79" ht="15.75" customHeight="1">
      <c r="A79" s="59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</row>
    <row r="80" ht="15.75" customHeight="1">
      <c r="A80" s="59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</row>
    <row r="81" ht="15.75" customHeight="1">
      <c r="A81" s="59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</row>
    <row r="82" ht="15.75" customHeight="1">
      <c r="A82" s="59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</row>
    <row r="83" ht="15.75" customHeight="1">
      <c r="A83" s="59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</row>
    <row r="84" ht="15.75" customHeight="1">
      <c r="A84" s="59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</row>
    <row r="85" ht="15.75" customHeight="1">
      <c r="A85" s="59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</row>
    <row r="86" ht="15.75" customHeight="1">
      <c r="A86" s="59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</row>
    <row r="87" ht="15.75" customHeight="1">
      <c r="A87" s="59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</row>
    <row r="88" ht="15.75" customHeight="1">
      <c r="A88" s="59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</row>
    <row r="89" ht="15.75" customHeight="1">
      <c r="A89" s="59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</row>
    <row r="90" ht="15.75" customHeight="1">
      <c r="A90" s="59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</row>
    <row r="91" ht="15.75" customHeight="1">
      <c r="A91" s="59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</row>
    <row r="92" ht="15.75" customHeight="1">
      <c r="A92" s="59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</row>
    <row r="93" ht="15.75" customHeight="1">
      <c r="A93" s="59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</row>
    <row r="94" ht="15.75" customHeight="1">
      <c r="A94" s="59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</row>
    <row r="95" ht="15.75" customHeight="1">
      <c r="A95" s="59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</row>
    <row r="96" ht="15.75" customHeight="1">
      <c r="A96" s="59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</row>
    <row r="97" ht="15.75" customHeight="1">
      <c r="A97" s="59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</row>
    <row r="98" ht="15.75" customHeight="1">
      <c r="A98" s="59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</row>
    <row r="99" ht="15.75" customHeight="1">
      <c r="A99" s="59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</row>
    <row r="100" ht="15.75" customHeight="1">
      <c r="A100" s="59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</row>
    <row r="101" ht="15.75" customHeight="1">
      <c r="A101" s="59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</row>
    <row r="102" ht="15.75" customHeight="1">
      <c r="A102" s="59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</row>
    <row r="103" ht="15.75" customHeight="1">
      <c r="A103" s="59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</row>
    <row r="104" ht="15.75" customHeight="1">
      <c r="A104" s="59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</row>
    <row r="105" ht="15.75" customHeight="1">
      <c r="A105" s="59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</row>
    <row r="106" ht="15.75" customHeight="1">
      <c r="A106" s="59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</row>
    <row r="107" ht="15.75" customHeight="1">
      <c r="A107" s="59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</row>
    <row r="108" ht="15.75" customHeight="1">
      <c r="A108" s="59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</row>
    <row r="109" ht="15.75" customHeight="1">
      <c r="A109" s="59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</row>
    <row r="110" ht="15.75" customHeight="1">
      <c r="A110" s="59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</row>
    <row r="111" ht="15.75" customHeight="1">
      <c r="A111" s="59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</row>
    <row r="112" ht="15.75" customHeight="1">
      <c r="A112" s="59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</row>
    <row r="113" ht="15.75" customHeight="1">
      <c r="A113" s="59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</row>
    <row r="114" ht="15.75" customHeight="1">
      <c r="A114" s="59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</row>
    <row r="115" ht="15.75" customHeight="1">
      <c r="A115" s="59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</row>
    <row r="116" ht="15.75" customHeight="1">
      <c r="A116" s="59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</row>
    <row r="117" ht="15.75" customHeight="1">
      <c r="A117" s="59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</row>
    <row r="118" ht="15.75" customHeight="1">
      <c r="A118" s="59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</row>
    <row r="119" ht="15.75" customHeight="1">
      <c r="A119" s="59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</row>
    <row r="120" ht="15.75" customHeight="1">
      <c r="A120" s="59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</row>
    <row r="121" ht="15.75" customHeight="1">
      <c r="A121" s="59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</row>
    <row r="122" ht="15.75" customHeight="1">
      <c r="A122" s="59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</row>
    <row r="123" ht="15.75" customHeight="1">
      <c r="A123" s="59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</row>
    <row r="124" ht="15.75" customHeight="1">
      <c r="A124" s="59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</row>
    <row r="125" ht="15.75" customHeight="1">
      <c r="A125" s="59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</row>
    <row r="126" ht="15.75" customHeight="1">
      <c r="A126" s="59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</row>
    <row r="127" ht="15.75" customHeight="1">
      <c r="A127" s="59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</row>
    <row r="128" ht="15.75" customHeight="1">
      <c r="A128" s="59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</row>
    <row r="129" ht="15.75" customHeight="1">
      <c r="A129" s="59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</row>
    <row r="130" ht="15.75" customHeight="1">
      <c r="A130" s="59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</row>
    <row r="131" ht="15.75" customHeight="1">
      <c r="A131" s="59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</row>
    <row r="132" ht="15.75" customHeight="1">
      <c r="A132" s="59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</row>
    <row r="133" ht="15.75" customHeight="1">
      <c r="A133" s="59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</row>
    <row r="134" ht="15.75" customHeight="1">
      <c r="A134" s="59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</row>
    <row r="135" ht="15.75" customHeight="1">
      <c r="A135" s="59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</row>
    <row r="136" ht="15.75" customHeight="1">
      <c r="A136" s="59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</row>
    <row r="137" ht="15.75" customHeight="1">
      <c r="A137" s="59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</row>
    <row r="138" ht="15.75" customHeight="1">
      <c r="A138" s="59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</row>
    <row r="139" ht="15.75" customHeight="1">
      <c r="A139" s="59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</row>
    <row r="140" ht="15.75" customHeight="1">
      <c r="A140" s="59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</row>
    <row r="141" ht="15.75" customHeight="1">
      <c r="A141" s="59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</row>
    <row r="142" ht="15.75" customHeight="1">
      <c r="A142" s="59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</row>
    <row r="143" ht="15.75" customHeight="1">
      <c r="A143" s="59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</row>
    <row r="144" ht="15.75" customHeight="1">
      <c r="A144" s="59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</row>
    <row r="145" ht="15.75" customHeight="1">
      <c r="A145" s="59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</row>
    <row r="146" ht="15.75" customHeight="1">
      <c r="A146" s="59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</row>
    <row r="147" ht="15.75" customHeight="1">
      <c r="A147" s="59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</row>
    <row r="148" ht="15.75" customHeight="1">
      <c r="A148" s="59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</row>
    <row r="149" ht="15.75" customHeight="1">
      <c r="A149" s="59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</row>
    <row r="150" ht="15.75" customHeight="1">
      <c r="A150" s="59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</row>
    <row r="151" ht="15.75" customHeight="1">
      <c r="A151" s="59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</row>
    <row r="152" ht="15.75" customHeight="1">
      <c r="A152" s="59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</row>
    <row r="153" ht="15.75" customHeight="1">
      <c r="A153" s="59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</row>
    <row r="154" ht="15.75" customHeight="1">
      <c r="A154" s="59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</row>
    <row r="155" ht="15.75" customHeight="1">
      <c r="A155" s="59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</row>
    <row r="156" ht="15.75" customHeight="1">
      <c r="A156" s="59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</row>
    <row r="157" ht="15.75" customHeight="1">
      <c r="A157" s="59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</row>
    <row r="158" ht="15.75" customHeight="1">
      <c r="A158" s="59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</row>
    <row r="159" ht="15.75" customHeight="1">
      <c r="A159" s="59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</row>
    <row r="160" ht="15.75" customHeight="1">
      <c r="A160" s="59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</row>
    <row r="161" ht="15.75" customHeight="1">
      <c r="A161" s="59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</row>
    <row r="162" ht="15.75" customHeight="1">
      <c r="A162" s="59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</row>
    <row r="163" ht="15.75" customHeight="1">
      <c r="A163" s="59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</row>
    <row r="164" ht="15.75" customHeight="1">
      <c r="A164" s="59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</row>
    <row r="165" ht="15.75" customHeight="1">
      <c r="A165" s="59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</row>
    <row r="166" ht="15.75" customHeight="1">
      <c r="A166" s="59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</row>
    <row r="167" ht="15.75" customHeight="1">
      <c r="A167" s="59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</row>
    <row r="168" ht="15.75" customHeight="1">
      <c r="A168" s="59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</row>
    <row r="169" ht="15.75" customHeight="1">
      <c r="A169" s="59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</row>
    <row r="170" ht="15.75" customHeight="1">
      <c r="A170" s="59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</row>
    <row r="171" ht="15.75" customHeight="1">
      <c r="A171" s="59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</row>
    <row r="172" ht="15.75" customHeight="1">
      <c r="A172" s="59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</row>
    <row r="173" ht="15.75" customHeight="1">
      <c r="A173" s="59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</row>
    <row r="174" ht="15.75" customHeight="1">
      <c r="A174" s="59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</row>
    <row r="175" ht="15.75" customHeight="1">
      <c r="A175" s="59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</row>
    <row r="176" ht="15.75" customHeight="1">
      <c r="A176" s="59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</row>
    <row r="177" ht="15.75" customHeight="1">
      <c r="A177" s="59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</row>
    <row r="178" ht="15.75" customHeight="1">
      <c r="A178" s="59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</row>
    <row r="179" ht="15.75" customHeight="1">
      <c r="A179" s="59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</row>
    <row r="180" ht="15.75" customHeight="1">
      <c r="A180" s="59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</row>
    <row r="181" ht="15.75" customHeight="1">
      <c r="A181" s="59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</row>
    <row r="182" ht="15.75" customHeight="1">
      <c r="A182" s="59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</row>
    <row r="183" ht="15.75" customHeight="1">
      <c r="A183" s="59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</row>
    <row r="184" ht="15.75" customHeight="1">
      <c r="A184" s="59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</row>
    <row r="185" ht="15.75" customHeight="1">
      <c r="A185" s="59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</row>
    <row r="186" ht="15.75" customHeight="1">
      <c r="A186" s="59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</row>
    <row r="187" ht="15.75" customHeight="1">
      <c r="A187" s="59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</row>
    <row r="188" ht="15.75" customHeight="1">
      <c r="A188" s="59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</row>
    <row r="189" ht="15.75" customHeight="1">
      <c r="A189" s="59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</row>
    <row r="190" ht="15.75" customHeight="1">
      <c r="A190" s="59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</row>
    <row r="191" ht="15.75" customHeight="1">
      <c r="A191" s="59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</row>
    <row r="192" ht="15.75" customHeight="1">
      <c r="A192" s="59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</row>
    <row r="193" ht="15.75" customHeight="1">
      <c r="A193" s="59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</row>
    <row r="194" ht="15.75" customHeight="1">
      <c r="A194" s="59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</row>
    <row r="195" ht="15.75" customHeight="1">
      <c r="A195" s="59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</row>
    <row r="196" ht="15.75" customHeight="1">
      <c r="A196" s="59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</row>
    <row r="197" ht="15.75" customHeight="1">
      <c r="A197" s="59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</row>
    <row r="198" ht="15.75" customHeight="1">
      <c r="A198" s="59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</row>
    <row r="199" ht="15.75" customHeight="1">
      <c r="A199" s="59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</row>
    <row r="200" ht="15.75" customHeight="1">
      <c r="A200" s="59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</row>
    <row r="201" ht="15.75" customHeight="1">
      <c r="A201" s="59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</row>
    <row r="202" ht="15.75" customHeight="1">
      <c r="A202" s="59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</row>
    <row r="203" ht="15.75" customHeight="1">
      <c r="A203" s="59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</row>
    <row r="204" ht="15.75" customHeight="1">
      <c r="A204" s="59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</row>
    <row r="205" ht="15.75" customHeight="1">
      <c r="A205" s="59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</row>
    <row r="206" ht="15.75" customHeight="1">
      <c r="A206" s="59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</row>
    <row r="207" ht="15.75" customHeight="1">
      <c r="A207" s="59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</row>
    <row r="208" ht="15.75" customHeight="1">
      <c r="A208" s="59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</row>
    <row r="209" ht="15.75" customHeight="1">
      <c r="A209" s="59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</row>
    <row r="210" ht="15.75" customHeight="1">
      <c r="A210" s="59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</row>
    <row r="211" ht="15.75" customHeight="1">
      <c r="A211" s="59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</row>
    <row r="212" ht="15.75" customHeight="1">
      <c r="A212" s="59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</row>
    <row r="213" ht="15.75" customHeight="1">
      <c r="A213" s="59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</row>
    <row r="214" ht="15.75" customHeight="1">
      <c r="A214" s="59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</row>
    <row r="215" ht="15.75" customHeight="1">
      <c r="A215" s="59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</row>
    <row r="216" ht="15.75" customHeight="1">
      <c r="A216" s="59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</row>
    <row r="217" ht="15.75" customHeight="1">
      <c r="A217" s="59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</row>
    <row r="218" ht="15.75" customHeight="1">
      <c r="A218" s="59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</row>
    <row r="219" ht="15.75" customHeight="1">
      <c r="A219" s="59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</row>
    <row r="220" ht="15.75" customHeight="1">
      <c r="A220" s="59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</row>
    <row r="221" ht="15.75" customHeight="1">
      <c r="A221" s="59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</row>
    <row r="222" ht="15.75" customHeight="1">
      <c r="A222" s="59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</row>
    <row r="223" ht="15.75" customHeight="1">
      <c r="A223" s="59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</row>
    <row r="224" ht="15.75" customHeight="1">
      <c r="A224" s="59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</row>
    <row r="225" ht="15.75" customHeight="1">
      <c r="A225" s="59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</row>
    <row r="226" ht="15.75" customHeight="1">
      <c r="A226" s="59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</row>
    <row r="227" ht="15.75" customHeight="1">
      <c r="A227" s="59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</row>
    <row r="228" ht="15.75" customHeight="1">
      <c r="A228" s="59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</row>
    <row r="229" ht="15.75" customHeight="1">
      <c r="A229" s="59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</row>
    <row r="230" ht="15.75" customHeight="1">
      <c r="A230" s="59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</row>
    <row r="231" ht="15.75" customHeight="1">
      <c r="A231" s="59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</row>
    <row r="232" ht="15.75" customHeight="1">
      <c r="A232" s="59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</row>
    <row r="233" ht="15.75" customHeight="1">
      <c r="A233" s="59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</row>
    <row r="234" ht="15.75" customHeight="1">
      <c r="A234" s="59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</row>
    <row r="235" ht="15.75" customHeight="1">
      <c r="A235" s="59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</row>
    <row r="236" ht="15.75" customHeight="1">
      <c r="A236" s="59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</row>
    <row r="237" ht="15.75" customHeight="1">
      <c r="A237" s="59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</row>
    <row r="238" ht="15.75" customHeight="1">
      <c r="A238" s="59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</row>
    <row r="239" ht="15.75" customHeight="1">
      <c r="A239" s="59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</row>
    <row r="240" ht="15.75" customHeight="1">
      <c r="A240" s="59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</row>
    <row r="241" ht="15.75" customHeight="1">
      <c r="A241" s="59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</row>
    <row r="242" ht="15.75" customHeight="1">
      <c r="A242" s="59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</row>
    <row r="243" ht="15.75" customHeight="1">
      <c r="A243" s="59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</row>
    <row r="244" ht="15.75" customHeight="1">
      <c r="A244" s="59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</row>
    <row r="245" ht="15.75" customHeight="1">
      <c r="A245" s="59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</row>
    <row r="246" ht="15.75" customHeight="1">
      <c r="A246" s="59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</row>
    <row r="247" ht="15.75" customHeight="1">
      <c r="A247" s="59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</row>
    <row r="248" ht="15.75" customHeight="1">
      <c r="A248" s="59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</row>
    <row r="249" ht="15.75" customHeight="1">
      <c r="A249" s="59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</row>
    <row r="250" ht="15.75" customHeight="1">
      <c r="A250" s="59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</row>
    <row r="251" ht="15.75" customHeight="1">
      <c r="A251" s="59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</row>
    <row r="252" ht="15.75" customHeight="1">
      <c r="A252" s="59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</row>
    <row r="253" ht="15.75" customHeight="1">
      <c r="A253" s="59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</row>
    <row r="254" ht="15.75" customHeight="1">
      <c r="A254" s="59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</row>
    <row r="255" ht="15.75" customHeight="1">
      <c r="A255" s="59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</row>
    <row r="256" ht="15.75" customHeight="1">
      <c r="A256" s="59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</row>
    <row r="257" ht="15.75" customHeight="1">
      <c r="A257" s="59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</row>
    <row r="258" ht="15.75" customHeight="1">
      <c r="A258" s="59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</row>
    <row r="259" ht="15.75" customHeight="1">
      <c r="A259" s="59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</row>
    <row r="260" ht="15.75" customHeight="1">
      <c r="A260" s="59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</row>
    <row r="261" ht="15.75" customHeight="1">
      <c r="A261" s="59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</row>
    <row r="262" ht="15.75" customHeight="1">
      <c r="A262" s="59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</row>
    <row r="263" ht="15.75" customHeight="1">
      <c r="A263" s="59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</row>
    <row r="264" ht="15.75" customHeight="1">
      <c r="A264" s="59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</row>
    <row r="265" ht="15.75" customHeight="1">
      <c r="A265" s="59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</row>
    <row r="266" ht="15.75" customHeight="1">
      <c r="A266" s="59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</row>
    <row r="267" ht="15.75" customHeight="1">
      <c r="A267" s="59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</row>
    <row r="268" ht="15.75" customHeight="1">
      <c r="A268" s="59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</row>
    <row r="269" ht="15.75" customHeight="1">
      <c r="A269" s="59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</row>
    <row r="270" ht="15.75" customHeight="1">
      <c r="A270" s="59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</row>
    <row r="271" ht="15.75" customHeight="1">
      <c r="A271" s="59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</row>
    <row r="272" ht="15.75" customHeight="1">
      <c r="A272" s="59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</row>
    <row r="273" ht="15.75" customHeight="1">
      <c r="A273" s="59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</row>
    <row r="274" ht="15.75" customHeight="1">
      <c r="A274" s="59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</row>
    <row r="275" ht="15.75" customHeight="1">
      <c r="A275" s="59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</row>
    <row r="276" ht="15.75" customHeight="1">
      <c r="A276" s="59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</row>
    <row r="277" ht="15.75" customHeight="1">
      <c r="A277" s="59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</row>
    <row r="278" ht="15.75" customHeight="1">
      <c r="A278" s="59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</row>
    <row r="279" ht="15.75" customHeight="1">
      <c r="A279" s="59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</row>
    <row r="280" ht="15.75" customHeight="1">
      <c r="A280" s="59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</row>
    <row r="281" ht="15.75" customHeight="1">
      <c r="A281" s="59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</row>
    <row r="282" ht="15.75" customHeight="1">
      <c r="A282" s="59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</row>
    <row r="283" ht="15.75" customHeight="1">
      <c r="A283" s="59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</row>
    <row r="284" ht="15.75" customHeight="1">
      <c r="A284" s="59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</row>
    <row r="285" ht="15.75" customHeight="1">
      <c r="A285" s="59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</row>
    <row r="286" ht="15.75" customHeight="1">
      <c r="A286" s="59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</row>
    <row r="287" ht="15.75" customHeight="1">
      <c r="A287" s="59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</row>
    <row r="288" ht="15.75" customHeight="1">
      <c r="A288" s="59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</row>
    <row r="289" ht="15.75" customHeight="1">
      <c r="A289" s="59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</row>
    <row r="290" ht="15.75" customHeight="1">
      <c r="A290" s="59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</row>
    <row r="291" ht="15.75" customHeight="1">
      <c r="A291" s="59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</row>
    <row r="292" ht="15.75" customHeight="1">
      <c r="A292" s="59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</row>
    <row r="293" ht="15.75" customHeight="1">
      <c r="A293" s="59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</row>
    <row r="294" ht="15.75" customHeight="1">
      <c r="A294" s="59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</row>
    <row r="295" ht="15.75" customHeight="1">
      <c r="A295" s="59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</row>
    <row r="296" ht="15.75" customHeight="1">
      <c r="A296" s="59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</row>
    <row r="297" ht="15.75" customHeight="1">
      <c r="A297" s="59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</row>
    <row r="298" ht="15.75" customHeight="1">
      <c r="A298" s="59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</row>
    <row r="299" ht="15.75" customHeight="1">
      <c r="A299" s="59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</row>
    <row r="300" ht="15.75" customHeight="1">
      <c r="A300" s="59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</row>
    <row r="301" ht="15.75" customHeight="1">
      <c r="A301" s="59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</row>
    <row r="302" ht="15.75" customHeight="1">
      <c r="A302" s="59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</row>
    <row r="303" ht="15.75" customHeight="1">
      <c r="A303" s="59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</row>
    <row r="304" ht="15.75" customHeight="1">
      <c r="A304" s="59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</row>
    <row r="305" ht="15.75" customHeight="1">
      <c r="A305" s="59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</row>
    <row r="306" ht="15.75" customHeight="1">
      <c r="A306" s="59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</row>
    <row r="307" ht="15.75" customHeight="1">
      <c r="A307" s="59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</row>
    <row r="308" ht="15.75" customHeight="1">
      <c r="A308" s="59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</row>
    <row r="309" ht="15.75" customHeight="1">
      <c r="A309" s="59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</row>
    <row r="310" ht="15.75" customHeight="1">
      <c r="A310" s="59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</row>
    <row r="311" ht="15.75" customHeight="1">
      <c r="A311" s="59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</row>
    <row r="312" ht="15.75" customHeight="1">
      <c r="A312" s="59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</row>
    <row r="313" ht="15.75" customHeight="1">
      <c r="A313" s="59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</row>
    <row r="314" ht="15.75" customHeight="1">
      <c r="A314" s="59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</row>
    <row r="315" ht="15.75" customHeight="1">
      <c r="A315" s="59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</row>
    <row r="316" ht="15.75" customHeight="1">
      <c r="A316" s="59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</row>
    <row r="317" ht="15.75" customHeight="1">
      <c r="A317" s="59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</row>
    <row r="318" ht="15.75" customHeight="1">
      <c r="A318" s="59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</row>
    <row r="319" ht="15.75" customHeight="1">
      <c r="A319" s="59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</row>
    <row r="320" ht="15.75" customHeight="1">
      <c r="A320" s="59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</row>
    <row r="321" ht="15.75" customHeight="1">
      <c r="A321" s="59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</row>
    <row r="322" ht="15.75" customHeight="1">
      <c r="A322" s="59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</row>
    <row r="323" ht="15.75" customHeight="1">
      <c r="A323" s="59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</row>
    <row r="324" ht="15.75" customHeight="1">
      <c r="A324" s="59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</row>
    <row r="325" ht="15.75" customHeight="1">
      <c r="A325" s="59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</row>
    <row r="326" ht="15.75" customHeight="1">
      <c r="A326" s="59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</row>
    <row r="327" ht="15.75" customHeight="1">
      <c r="A327" s="59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</row>
    <row r="328" ht="15.75" customHeight="1">
      <c r="A328" s="59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</row>
    <row r="329" ht="15.75" customHeight="1">
      <c r="A329" s="59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</row>
    <row r="330" ht="15.75" customHeight="1">
      <c r="A330" s="59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</row>
    <row r="331" ht="15.75" customHeight="1">
      <c r="A331" s="59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</row>
    <row r="332" ht="15.75" customHeight="1">
      <c r="A332" s="59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</row>
    <row r="333" ht="15.75" customHeight="1">
      <c r="A333" s="59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</row>
    <row r="334" ht="15.75" customHeight="1">
      <c r="A334" s="59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</row>
    <row r="335" ht="15.75" customHeight="1">
      <c r="A335" s="59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</row>
    <row r="336" ht="15.75" customHeight="1">
      <c r="A336" s="59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</row>
    <row r="337" ht="15.75" customHeight="1">
      <c r="A337" s="59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</row>
    <row r="338" ht="15.75" customHeight="1">
      <c r="A338" s="59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</row>
    <row r="339" ht="15.75" customHeight="1">
      <c r="A339" s="59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</row>
    <row r="340" ht="15.75" customHeight="1">
      <c r="A340" s="59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</row>
    <row r="341" ht="15.75" customHeight="1">
      <c r="A341" s="59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</row>
    <row r="342" ht="15.75" customHeight="1">
      <c r="A342" s="59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</row>
    <row r="343" ht="15.75" customHeight="1">
      <c r="A343" s="59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</row>
    <row r="344" ht="15.75" customHeight="1">
      <c r="A344" s="59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</row>
    <row r="345" ht="15.75" customHeight="1">
      <c r="A345" s="59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</row>
    <row r="346" ht="15.75" customHeight="1">
      <c r="A346" s="59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</row>
    <row r="347" ht="15.75" customHeight="1">
      <c r="A347" s="59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</row>
    <row r="348" ht="15.75" customHeight="1">
      <c r="A348" s="59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</row>
    <row r="349" ht="15.75" customHeight="1">
      <c r="A349" s="59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</row>
    <row r="350" ht="15.75" customHeight="1">
      <c r="A350" s="59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</row>
    <row r="351" ht="15.75" customHeight="1">
      <c r="A351" s="59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</row>
    <row r="352" ht="15.75" customHeight="1">
      <c r="A352" s="59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</row>
    <row r="353" ht="15.75" customHeight="1">
      <c r="A353" s="59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</row>
    <row r="354" ht="15.75" customHeight="1">
      <c r="A354" s="59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</row>
    <row r="355" ht="15.75" customHeight="1">
      <c r="A355" s="59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</row>
    <row r="356" ht="15.75" customHeight="1">
      <c r="A356" s="59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</row>
    <row r="357" ht="15.75" customHeight="1">
      <c r="A357" s="59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</row>
    <row r="358" ht="15.75" customHeight="1">
      <c r="A358" s="59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</row>
    <row r="359" ht="15.75" customHeight="1">
      <c r="A359" s="59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</row>
    <row r="360" ht="15.75" customHeight="1">
      <c r="A360" s="59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</row>
    <row r="361" ht="15.75" customHeight="1">
      <c r="A361" s="59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</row>
    <row r="362" ht="15.75" customHeight="1">
      <c r="A362" s="59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</row>
    <row r="363" ht="15.75" customHeight="1">
      <c r="A363" s="59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</row>
    <row r="364" ht="15.75" customHeight="1">
      <c r="A364" s="59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</row>
    <row r="365" ht="15.75" customHeight="1">
      <c r="A365" s="59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</row>
    <row r="366" ht="15.75" customHeight="1">
      <c r="A366" s="59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</row>
    <row r="367" ht="15.75" customHeight="1">
      <c r="A367" s="59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</row>
    <row r="368" ht="15.75" customHeight="1">
      <c r="A368" s="59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</row>
    <row r="369" ht="15.75" customHeight="1">
      <c r="A369" s="59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</row>
    <row r="370" ht="15.75" customHeight="1">
      <c r="A370" s="59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</row>
    <row r="371" ht="15.75" customHeight="1">
      <c r="A371" s="59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</row>
    <row r="372" ht="15.75" customHeight="1">
      <c r="A372" s="59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</row>
    <row r="373" ht="15.75" customHeight="1">
      <c r="A373" s="59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</row>
    <row r="374" ht="15.75" customHeight="1">
      <c r="A374" s="59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</row>
    <row r="375" ht="15.75" customHeight="1">
      <c r="A375" s="59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</row>
    <row r="376" ht="15.75" customHeight="1">
      <c r="A376" s="59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</row>
    <row r="377" ht="15.75" customHeight="1">
      <c r="A377" s="59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</row>
    <row r="378" ht="15.75" customHeight="1">
      <c r="A378" s="59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</row>
    <row r="379" ht="15.75" customHeight="1">
      <c r="A379" s="59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</row>
    <row r="380" ht="15.75" customHeight="1">
      <c r="A380" s="59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</row>
    <row r="381" ht="15.75" customHeight="1">
      <c r="A381" s="59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</row>
    <row r="382" ht="15.75" customHeight="1">
      <c r="A382" s="59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</row>
    <row r="383" ht="15.75" customHeight="1">
      <c r="A383" s="59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</row>
    <row r="384" ht="15.75" customHeight="1">
      <c r="A384" s="59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</row>
    <row r="385" ht="15.75" customHeight="1">
      <c r="A385" s="59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</row>
    <row r="386" ht="15.75" customHeight="1">
      <c r="A386" s="59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</row>
    <row r="387" ht="15.75" customHeight="1">
      <c r="A387" s="59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</row>
    <row r="388" ht="15.75" customHeight="1">
      <c r="A388" s="59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</row>
    <row r="389" ht="15.75" customHeight="1">
      <c r="A389" s="59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</row>
    <row r="390" ht="15.75" customHeight="1">
      <c r="A390" s="59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</row>
    <row r="391" ht="15.75" customHeight="1">
      <c r="A391" s="59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</row>
    <row r="392" ht="15.75" customHeight="1">
      <c r="A392" s="59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</row>
    <row r="393" ht="15.75" customHeight="1">
      <c r="A393" s="59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</row>
    <row r="394" ht="15.75" customHeight="1">
      <c r="A394" s="59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</row>
    <row r="395" ht="15.75" customHeight="1">
      <c r="A395" s="59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</row>
    <row r="396" ht="15.75" customHeight="1">
      <c r="A396" s="59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</row>
    <row r="397" ht="15.75" customHeight="1">
      <c r="A397" s="59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</row>
    <row r="398" ht="15.75" customHeight="1">
      <c r="A398" s="59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</row>
    <row r="399" ht="15.75" customHeight="1">
      <c r="A399" s="59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</row>
    <row r="400" ht="15.75" customHeight="1">
      <c r="A400" s="59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</row>
    <row r="401" ht="15.75" customHeight="1">
      <c r="A401" s="59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</row>
    <row r="402" ht="15.75" customHeight="1">
      <c r="A402" s="59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</row>
    <row r="403" ht="15.75" customHeight="1">
      <c r="A403" s="59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</row>
    <row r="404" ht="15.75" customHeight="1">
      <c r="A404" s="59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</row>
    <row r="405" ht="15.75" customHeight="1">
      <c r="A405" s="59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</row>
    <row r="406" ht="15.75" customHeight="1">
      <c r="A406" s="59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</row>
    <row r="407" ht="15.75" customHeight="1">
      <c r="A407" s="59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</row>
    <row r="408" ht="15.75" customHeight="1">
      <c r="A408" s="59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</row>
    <row r="409" ht="15.75" customHeight="1">
      <c r="A409" s="59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</row>
    <row r="410" ht="15.75" customHeight="1">
      <c r="A410" s="59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</row>
    <row r="411" ht="15.75" customHeight="1">
      <c r="A411" s="59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</row>
    <row r="412" ht="15.75" customHeight="1">
      <c r="A412" s="59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</row>
    <row r="413" ht="15.75" customHeight="1">
      <c r="A413" s="59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</row>
    <row r="414" ht="15.75" customHeight="1">
      <c r="A414" s="59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</row>
    <row r="415" ht="15.75" customHeight="1">
      <c r="A415" s="59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</row>
    <row r="416" ht="15.75" customHeight="1">
      <c r="A416" s="59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</row>
    <row r="417" ht="15.75" customHeight="1">
      <c r="A417" s="59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</row>
    <row r="418" ht="15.75" customHeight="1">
      <c r="A418" s="59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</row>
    <row r="419" ht="15.75" customHeight="1">
      <c r="A419" s="59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</row>
    <row r="420" ht="15.75" customHeight="1">
      <c r="A420" s="59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</row>
    <row r="421" ht="15.75" customHeight="1">
      <c r="A421" s="59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</row>
    <row r="422" ht="15.75" customHeight="1">
      <c r="A422" s="59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</row>
    <row r="423" ht="15.75" customHeight="1">
      <c r="A423" s="59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</row>
    <row r="424" ht="15.75" customHeight="1">
      <c r="A424" s="59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</row>
    <row r="425" ht="15.75" customHeight="1">
      <c r="A425" s="59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</row>
    <row r="426" ht="15.75" customHeight="1">
      <c r="A426" s="59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</row>
    <row r="427" ht="15.75" customHeight="1">
      <c r="A427" s="59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</row>
    <row r="428" ht="15.75" customHeight="1">
      <c r="A428" s="59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</row>
    <row r="429" ht="15.75" customHeight="1">
      <c r="A429" s="59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</row>
    <row r="430" ht="15.75" customHeight="1">
      <c r="A430" s="59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</row>
    <row r="431" ht="15.75" customHeight="1">
      <c r="A431" s="59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</row>
    <row r="432" ht="15.75" customHeight="1">
      <c r="A432" s="59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</row>
    <row r="433" ht="15.75" customHeight="1">
      <c r="A433" s="59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</row>
    <row r="434" ht="15.75" customHeight="1">
      <c r="A434" s="59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</row>
    <row r="435" ht="15.75" customHeight="1">
      <c r="A435" s="59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</row>
    <row r="436" ht="15.75" customHeight="1">
      <c r="A436" s="59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</row>
    <row r="437" ht="15.75" customHeight="1">
      <c r="A437" s="59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</row>
    <row r="438" ht="15.75" customHeight="1">
      <c r="A438" s="59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</row>
    <row r="439" ht="15.75" customHeight="1">
      <c r="A439" s="59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</row>
    <row r="440" ht="15.75" customHeight="1">
      <c r="A440" s="59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</row>
    <row r="441" ht="15.75" customHeight="1">
      <c r="A441" s="59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</row>
    <row r="442" ht="15.75" customHeight="1">
      <c r="A442" s="59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</row>
    <row r="443" ht="15.75" customHeight="1">
      <c r="A443" s="59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</row>
    <row r="444" ht="15.75" customHeight="1">
      <c r="A444" s="59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</row>
    <row r="445" ht="15.75" customHeight="1">
      <c r="A445" s="59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</row>
    <row r="446" ht="15.75" customHeight="1">
      <c r="A446" s="59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</row>
    <row r="447" ht="15.75" customHeight="1">
      <c r="A447" s="59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</row>
    <row r="448" ht="15.75" customHeight="1">
      <c r="A448" s="59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</row>
    <row r="449" ht="15.75" customHeight="1">
      <c r="A449" s="59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</row>
    <row r="450" ht="15.75" customHeight="1">
      <c r="A450" s="59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</row>
    <row r="451" ht="15.75" customHeight="1">
      <c r="A451" s="59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</row>
    <row r="452" ht="15.75" customHeight="1">
      <c r="A452" s="59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</row>
    <row r="453" ht="15.75" customHeight="1">
      <c r="A453" s="59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</row>
    <row r="454" ht="15.75" customHeight="1">
      <c r="A454" s="59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</row>
    <row r="455" ht="15.75" customHeight="1">
      <c r="A455" s="59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</row>
    <row r="456" ht="15.75" customHeight="1">
      <c r="A456" s="59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</row>
    <row r="457" ht="15.75" customHeight="1">
      <c r="A457" s="59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</row>
    <row r="458" ht="15.75" customHeight="1">
      <c r="A458" s="59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</row>
    <row r="459" ht="15.75" customHeight="1">
      <c r="A459" s="59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</row>
    <row r="460" ht="15.75" customHeight="1">
      <c r="A460" s="59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</row>
    <row r="461" ht="15.75" customHeight="1">
      <c r="A461" s="59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</row>
    <row r="462" ht="15.75" customHeight="1">
      <c r="A462" s="59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</row>
    <row r="463" ht="15.75" customHeight="1">
      <c r="A463" s="59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</row>
    <row r="464" ht="15.75" customHeight="1">
      <c r="A464" s="59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</row>
    <row r="465" ht="15.75" customHeight="1">
      <c r="A465" s="59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</row>
    <row r="466" ht="15.75" customHeight="1">
      <c r="A466" s="59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</row>
    <row r="467" ht="15.75" customHeight="1">
      <c r="A467" s="59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</row>
    <row r="468" ht="15.75" customHeight="1">
      <c r="A468" s="59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</row>
    <row r="469" ht="15.75" customHeight="1">
      <c r="A469" s="59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</row>
    <row r="470" ht="15.75" customHeight="1">
      <c r="A470" s="59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</row>
    <row r="471" ht="15.75" customHeight="1">
      <c r="A471" s="59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</row>
    <row r="472" ht="15.75" customHeight="1">
      <c r="A472" s="59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</row>
    <row r="473" ht="15.75" customHeight="1">
      <c r="A473" s="59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</row>
    <row r="474" ht="15.75" customHeight="1">
      <c r="A474" s="59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</row>
    <row r="475" ht="15.75" customHeight="1">
      <c r="A475" s="59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</row>
    <row r="476" ht="15.75" customHeight="1">
      <c r="A476" s="59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</row>
    <row r="477" ht="15.75" customHeight="1">
      <c r="A477" s="59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</row>
    <row r="478" ht="15.75" customHeight="1">
      <c r="A478" s="59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</row>
    <row r="479" ht="15.75" customHeight="1">
      <c r="A479" s="59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</row>
    <row r="480" ht="15.75" customHeight="1">
      <c r="A480" s="59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</row>
    <row r="481" ht="15.75" customHeight="1">
      <c r="A481" s="59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</row>
    <row r="482" ht="15.75" customHeight="1">
      <c r="A482" s="59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</row>
    <row r="483" ht="15.75" customHeight="1">
      <c r="A483" s="59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</row>
    <row r="484" ht="15.75" customHeight="1">
      <c r="A484" s="59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</row>
    <row r="485" ht="15.75" customHeight="1">
      <c r="A485" s="59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</row>
    <row r="486" ht="15.75" customHeight="1">
      <c r="A486" s="59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</row>
    <row r="487" ht="15.75" customHeight="1">
      <c r="A487" s="59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</row>
    <row r="488" ht="15.75" customHeight="1">
      <c r="A488" s="59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</row>
    <row r="489" ht="15.75" customHeight="1">
      <c r="A489" s="59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</row>
    <row r="490" ht="15.75" customHeight="1">
      <c r="A490" s="59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</row>
    <row r="491" ht="15.75" customHeight="1">
      <c r="A491" s="59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</row>
    <row r="492" ht="15.75" customHeight="1">
      <c r="A492" s="59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</row>
    <row r="493" ht="15.75" customHeight="1">
      <c r="A493" s="59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</row>
    <row r="494" ht="15.75" customHeight="1">
      <c r="A494" s="59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</row>
    <row r="495" ht="15.75" customHeight="1">
      <c r="A495" s="59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</row>
    <row r="496" ht="15.75" customHeight="1">
      <c r="A496" s="59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</row>
    <row r="497" ht="15.75" customHeight="1">
      <c r="A497" s="59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</row>
    <row r="498" ht="15.75" customHeight="1">
      <c r="A498" s="59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</row>
    <row r="499" ht="15.75" customHeight="1">
      <c r="A499" s="59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</row>
    <row r="500" ht="15.75" customHeight="1">
      <c r="A500" s="59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</row>
    <row r="501" ht="15.75" customHeight="1">
      <c r="A501" s="59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</row>
    <row r="502" ht="15.75" customHeight="1">
      <c r="A502" s="59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</row>
    <row r="503" ht="15.75" customHeight="1">
      <c r="A503" s="59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</row>
    <row r="504" ht="15.75" customHeight="1">
      <c r="A504" s="59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</row>
    <row r="505" ht="15.75" customHeight="1">
      <c r="A505" s="59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</row>
    <row r="506" ht="15.75" customHeight="1">
      <c r="A506" s="59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</row>
    <row r="507" ht="15.75" customHeight="1">
      <c r="A507" s="59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</row>
    <row r="508" ht="15.75" customHeight="1">
      <c r="A508" s="59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</row>
    <row r="509" ht="15.75" customHeight="1">
      <c r="A509" s="59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</row>
    <row r="510" ht="15.75" customHeight="1">
      <c r="A510" s="59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</row>
    <row r="511" ht="15.75" customHeight="1">
      <c r="A511" s="59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</row>
    <row r="512" ht="15.75" customHeight="1">
      <c r="A512" s="59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</row>
    <row r="513" ht="15.75" customHeight="1">
      <c r="A513" s="59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</row>
    <row r="514" ht="15.75" customHeight="1">
      <c r="A514" s="59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</row>
    <row r="515" ht="15.75" customHeight="1">
      <c r="A515" s="59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</row>
    <row r="516" ht="15.75" customHeight="1">
      <c r="A516" s="59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</row>
    <row r="517" ht="15.75" customHeight="1">
      <c r="A517" s="59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</row>
    <row r="518" ht="15.75" customHeight="1">
      <c r="A518" s="59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</row>
    <row r="519" ht="15.75" customHeight="1">
      <c r="A519" s="59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</row>
    <row r="520" ht="15.75" customHeight="1">
      <c r="A520" s="59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</row>
    <row r="521" ht="15.75" customHeight="1">
      <c r="A521" s="59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</row>
    <row r="522" ht="15.75" customHeight="1">
      <c r="A522" s="59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</row>
    <row r="523" ht="15.75" customHeight="1">
      <c r="A523" s="59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</row>
    <row r="524" ht="15.75" customHeight="1">
      <c r="A524" s="59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</row>
    <row r="525" ht="15.75" customHeight="1">
      <c r="A525" s="59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</row>
    <row r="526" ht="15.75" customHeight="1">
      <c r="A526" s="59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</row>
    <row r="527" ht="15.75" customHeight="1">
      <c r="A527" s="59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</row>
    <row r="528" ht="15.75" customHeight="1">
      <c r="A528" s="59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</row>
    <row r="529" ht="15.75" customHeight="1">
      <c r="A529" s="59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</row>
    <row r="530" ht="15.75" customHeight="1">
      <c r="A530" s="59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</row>
    <row r="531" ht="15.75" customHeight="1">
      <c r="A531" s="59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</row>
    <row r="532" ht="15.75" customHeight="1">
      <c r="A532" s="59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</row>
    <row r="533" ht="15.75" customHeight="1">
      <c r="A533" s="59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</row>
    <row r="534" ht="15.75" customHeight="1">
      <c r="A534" s="59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</row>
    <row r="535" ht="15.75" customHeight="1">
      <c r="A535" s="59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</row>
    <row r="536" ht="15.75" customHeight="1">
      <c r="A536" s="59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</row>
    <row r="537" ht="15.75" customHeight="1">
      <c r="A537" s="59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</row>
    <row r="538" ht="15.75" customHeight="1">
      <c r="A538" s="59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</row>
    <row r="539" ht="15.75" customHeight="1">
      <c r="A539" s="59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</row>
    <row r="540" ht="15.75" customHeight="1">
      <c r="A540" s="59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</row>
    <row r="541" ht="15.75" customHeight="1">
      <c r="A541" s="59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</row>
    <row r="542" ht="15.75" customHeight="1">
      <c r="A542" s="59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</row>
    <row r="543" ht="15.75" customHeight="1">
      <c r="A543" s="59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</row>
    <row r="544" ht="15.75" customHeight="1">
      <c r="A544" s="59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</row>
    <row r="545" ht="15.75" customHeight="1">
      <c r="A545" s="59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</row>
    <row r="546" ht="15.75" customHeight="1">
      <c r="A546" s="59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</row>
    <row r="547" ht="15.75" customHeight="1">
      <c r="A547" s="59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</row>
    <row r="548" ht="15.75" customHeight="1">
      <c r="A548" s="59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</row>
    <row r="549" ht="15.75" customHeight="1">
      <c r="A549" s="59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</row>
    <row r="550" ht="15.75" customHeight="1">
      <c r="A550" s="59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</row>
    <row r="551" ht="15.75" customHeight="1">
      <c r="A551" s="59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</row>
    <row r="552" ht="15.75" customHeight="1">
      <c r="A552" s="59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</row>
    <row r="553" ht="15.75" customHeight="1">
      <c r="A553" s="59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</row>
    <row r="554" ht="15.75" customHeight="1">
      <c r="A554" s="59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</row>
    <row r="555" ht="15.75" customHeight="1">
      <c r="A555" s="59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</row>
    <row r="556" ht="15.75" customHeight="1">
      <c r="A556" s="59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</row>
    <row r="557" ht="15.75" customHeight="1">
      <c r="A557" s="59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</row>
    <row r="558" ht="15.75" customHeight="1">
      <c r="A558" s="59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</row>
    <row r="559" ht="15.75" customHeight="1">
      <c r="A559" s="59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</row>
    <row r="560" ht="15.75" customHeight="1">
      <c r="A560" s="59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</row>
    <row r="561" ht="15.75" customHeight="1">
      <c r="A561" s="59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</row>
    <row r="562" ht="15.75" customHeight="1">
      <c r="A562" s="59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</row>
    <row r="563" ht="15.75" customHeight="1">
      <c r="A563" s="59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</row>
    <row r="564" ht="15.75" customHeight="1">
      <c r="A564" s="59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</row>
    <row r="565" ht="15.75" customHeight="1">
      <c r="A565" s="59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</row>
    <row r="566" ht="15.75" customHeight="1">
      <c r="A566" s="59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</row>
    <row r="567" ht="15.75" customHeight="1">
      <c r="A567" s="59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</row>
    <row r="568" ht="15.75" customHeight="1">
      <c r="A568" s="59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</row>
    <row r="569" ht="15.75" customHeight="1">
      <c r="A569" s="59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</row>
    <row r="570" ht="15.75" customHeight="1">
      <c r="A570" s="59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</row>
    <row r="571" ht="15.75" customHeight="1">
      <c r="A571" s="59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</row>
    <row r="572" ht="15.75" customHeight="1">
      <c r="A572" s="59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</row>
    <row r="573" ht="15.75" customHeight="1">
      <c r="A573" s="59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</row>
    <row r="574" ht="15.75" customHeight="1">
      <c r="A574" s="59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</row>
    <row r="575" ht="15.75" customHeight="1">
      <c r="A575" s="59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</row>
    <row r="576" ht="15.75" customHeight="1">
      <c r="A576" s="59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</row>
    <row r="577" ht="15.75" customHeight="1">
      <c r="A577" s="59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</row>
    <row r="578" ht="15.75" customHeight="1">
      <c r="A578" s="59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</row>
    <row r="579" ht="15.75" customHeight="1">
      <c r="A579" s="59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</row>
    <row r="580" ht="15.75" customHeight="1">
      <c r="A580" s="59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</row>
    <row r="581" ht="15.75" customHeight="1">
      <c r="A581" s="59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</row>
    <row r="582" ht="15.75" customHeight="1">
      <c r="A582" s="59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</row>
    <row r="583" ht="15.75" customHeight="1">
      <c r="A583" s="59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</row>
    <row r="584" ht="15.75" customHeight="1">
      <c r="A584" s="59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</row>
    <row r="585" ht="15.75" customHeight="1">
      <c r="A585" s="59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</row>
    <row r="586" ht="15.75" customHeight="1">
      <c r="A586" s="59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</row>
    <row r="587" ht="15.75" customHeight="1">
      <c r="A587" s="59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</row>
    <row r="588" ht="15.75" customHeight="1">
      <c r="A588" s="59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</row>
    <row r="589" ht="15.75" customHeight="1">
      <c r="A589" s="59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</row>
    <row r="590" ht="15.75" customHeight="1">
      <c r="A590" s="59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</row>
    <row r="591" ht="15.75" customHeight="1">
      <c r="A591" s="59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</row>
    <row r="592" ht="15.75" customHeight="1">
      <c r="A592" s="59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</row>
    <row r="593" ht="15.75" customHeight="1">
      <c r="A593" s="59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</row>
    <row r="594" ht="15.75" customHeight="1">
      <c r="A594" s="59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</row>
    <row r="595" ht="15.75" customHeight="1">
      <c r="A595" s="59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</row>
    <row r="596" ht="15.75" customHeight="1">
      <c r="A596" s="59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</row>
    <row r="597" ht="15.75" customHeight="1">
      <c r="A597" s="59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</row>
    <row r="598" ht="15.75" customHeight="1">
      <c r="A598" s="59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</row>
    <row r="599" ht="15.75" customHeight="1">
      <c r="A599" s="59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</row>
    <row r="600" ht="15.75" customHeight="1">
      <c r="A600" s="59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</row>
    <row r="601" ht="15.75" customHeight="1">
      <c r="A601" s="59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</row>
    <row r="602" ht="15.75" customHeight="1">
      <c r="A602" s="59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</row>
    <row r="603" ht="15.75" customHeight="1">
      <c r="A603" s="59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</row>
    <row r="604" ht="15.75" customHeight="1">
      <c r="A604" s="59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</row>
    <row r="605" ht="15.75" customHeight="1">
      <c r="A605" s="59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</row>
    <row r="606" ht="15.75" customHeight="1">
      <c r="A606" s="59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</row>
    <row r="607" ht="15.75" customHeight="1">
      <c r="A607" s="59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</row>
    <row r="608" ht="15.75" customHeight="1">
      <c r="A608" s="59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</row>
    <row r="609" ht="15.75" customHeight="1">
      <c r="A609" s="59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</row>
    <row r="610" ht="15.75" customHeight="1">
      <c r="A610" s="59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</row>
    <row r="611" ht="15.75" customHeight="1">
      <c r="A611" s="59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</row>
    <row r="612" ht="15.75" customHeight="1">
      <c r="A612" s="59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</row>
    <row r="613" ht="15.75" customHeight="1">
      <c r="A613" s="59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</row>
    <row r="614" ht="15.75" customHeight="1">
      <c r="A614" s="59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</row>
    <row r="615" ht="15.75" customHeight="1">
      <c r="A615" s="59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</row>
    <row r="616" ht="15.75" customHeight="1">
      <c r="A616" s="59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</row>
    <row r="617" ht="15.75" customHeight="1">
      <c r="A617" s="59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</row>
    <row r="618" ht="15.75" customHeight="1">
      <c r="A618" s="59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</row>
    <row r="619" ht="15.75" customHeight="1">
      <c r="A619" s="59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</row>
    <row r="620" ht="15.75" customHeight="1">
      <c r="A620" s="59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</row>
    <row r="621" ht="15.75" customHeight="1">
      <c r="A621" s="59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</row>
    <row r="622" ht="15.75" customHeight="1">
      <c r="A622" s="59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</row>
    <row r="623" ht="15.75" customHeight="1">
      <c r="A623" s="59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</row>
    <row r="624" ht="15.75" customHeight="1">
      <c r="A624" s="59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</row>
    <row r="625" ht="15.75" customHeight="1">
      <c r="A625" s="59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</row>
    <row r="626" ht="15.75" customHeight="1">
      <c r="A626" s="59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</row>
    <row r="627" ht="15.75" customHeight="1">
      <c r="A627" s="59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</row>
    <row r="628" ht="15.75" customHeight="1">
      <c r="A628" s="59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</row>
    <row r="629" ht="15.75" customHeight="1">
      <c r="A629" s="59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</row>
    <row r="630" ht="15.75" customHeight="1">
      <c r="A630" s="59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</row>
    <row r="631" ht="15.75" customHeight="1">
      <c r="A631" s="59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</row>
    <row r="632" ht="15.75" customHeight="1">
      <c r="A632" s="59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</row>
    <row r="633" ht="15.75" customHeight="1">
      <c r="A633" s="59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</row>
    <row r="634" ht="15.75" customHeight="1">
      <c r="A634" s="59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</row>
    <row r="635" ht="15.75" customHeight="1">
      <c r="A635" s="59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</row>
    <row r="636" ht="15.75" customHeight="1">
      <c r="A636" s="59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</row>
    <row r="637" ht="15.75" customHeight="1">
      <c r="A637" s="59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</row>
    <row r="638" ht="15.75" customHeight="1">
      <c r="A638" s="59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</row>
    <row r="639" ht="15.75" customHeight="1">
      <c r="A639" s="59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</row>
    <row r="640" ht="15.75" customHeight="1">
      <c r="A640" s="59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</row>
    <row r="641" ht="15.75" customHeight="1">
      <c r="A641" s="59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</row>
    <row r="642" ht="15.75" customHeight="1">
      <c r="A642" s="59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</row>
    <row r="643" ht="15.75" customHeight="1">
      <c r="A643" s="59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</row>
    <row r="644" ht="15.75" customHeight="1">
      <c r="A644" s="59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</row>
    <row r="645" ht="15.75" customHeight="1">
      <c r="A645" s="59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</row>
    <row r="646" ht="15.75" customHeight="1">
      <c r="A646" s="59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</row>
    <row r="647" ht="15.75" customHeight="1">
      <c r="A647" s="59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</row>
    <row r="648" ht="15.75" customHeight="1">
      <c r="A648" s="59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</row>
    <row r="649" ht="15.75" customHeight="1">
      <c r="A649" s="59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</row>
    <row r="650" ht="15.75" customHeight="1">
      <c r="A650" s="59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</row>
    <row r="651" ht="15.75" customHeight="1">
      <c r="A651" s="59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</row>
    <row r="652" ht="15.75" customHeight="1">
      <c r="A652" s="59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</row>
    <row r="653" ht="15.75" customHeight="1">
      <c r="A653" s="59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</row>
    <row r="654" ht="15.75" customHeight="1">
      <c r="A654" s="59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</row>
    <row r="655" ht="15.75" customHeight="1">
      <c r="A655" s="59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</row>
    <row r="656" ht="15.75" customHeight="1">
      <c r="A656" s="59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</row>
    <row r="657" ht="15.75" customHeight="1">
      <c r="A657" s="59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</row>
    <row r="658" ht="15.75" customHeight="1">
      <c r="A658" s="59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</row>
    <row r="659" ht="15.75" customHeight="1">
      <c r="A659" s="59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</row>
    <row r="660" ht="15.75" customHeight="1">
      <c r="A660" s="59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</row>
    <row r="661" ht="15.75" customHeight="1">
      <c r="A661" s="59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</row>
    <row r="662" ht="15.75" customHeight="1">
      <c r="A662" s="59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</row>
    <row r="663" ht="15.75" customHeight="1">
      <c r="A663" s="59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</row>
    <row r="664" ht="15.75" customHeight="1">
      <c r="A664" s="59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</row>
    <row r="665" ht="15.75" customHeight="1">
      <c r="A665" s="59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</row>
    <row r="666" ht="15.75" customHeight="1">
      <c r="A666" s="59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</row>
    <row r="667" ht="15.75" customHeight="1">
      <c r="A667" s="59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</row>
    <row r="668" ht="15.75" customHeight="1">
      <c r="A668" s="59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</row>
    <row r="669" ht="15.75" customHeight="1">
      <c r="A669" s="59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</row>
    <row r="670" ht="15.75" customHeight="1">
      <c r="A670" s="59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</row>
    <row r="671" ht="15.75" customHeight="1">
      <c r="A671" s="59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</row>
    <row r="672" ht="15.75" customHeight="1">
      <c r="A672" s="59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</row>
    <row r="673" ht="15.75" customHeight="1">
      <c r="A673" s="59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</row>
    <row r="674" ht="15.75" customHeight="1">
      <c r="A674" s="59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</row>
    <row r="675" ht="15.75" customHeight="1">
      <c r="A675" s="59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</row>
    <row r="676" ht="15.75" customHeight="1">
      <c r="A676" s="59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</row>
    <row r="677" ht="15.75" customHeight="1">
      <c r="A677" s="59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</row>
    <row r="678" ht="15.75" customHeight="1">
      <c r="A678" s="59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</row>
    <row r="679" ht="15.75" customHeight="1">
      <c r="A679" s="59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</row>
    <row r="680" ht="15.75" customHeight="1">
      <c r="A680" s="59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</row>
    <row r="681" ht="15.75" customHeight="1">
      <c r="A681" s="59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</row>
    <row r="682" ht="15.75" customHeight="1">
      <c r="A682" s="59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</row>
    <row r="683" ht="15.75" customHeight="1">
      <c r="A683" s="59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</row>
    <row r="684" ht="15.75" customHeight="1">
      <c r="A684" s="59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</row>
    <row r="685" ht="15.75" customHeight="1">
      <c r="A685" s="59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</row>
    <row r="686" ht="15.75" customHeight="1">
      <c r="A686" s="59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</row>
    <row r="687" ht="15.75" customHeight="1">
      <c r="A687" s="59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</row>
    <row r="688" ht="15.75" customHeight="1">
      <c r="A688" s="59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</row>
    <row r="689" ht="15.75" customHeight="1">
      <c r="A689" s="59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</row>
    <row r="690" ht="15.75" customHeight="1">
      <c r="A690" s="59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</row>
    <row r="691" ht="15.75" customHeight="1">
      <c r="A691" s="59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</row>
    <row r="692" ht="15.75" customHeight="1">
      <c r="A692" s="59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</row>
    <row r="693" ht="15.75" customHeight="1">
      <c r="A693" s="59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</row>
    <row r="694" ht="15.75" customHeight="1">
      <c r="A694" s="59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</row>
    <row r="695" ht="15.75" customHeight="1">
      <c r="A695" s="59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</row>
    <row r="696" ht="15.75" customHeight="1">
      <c r="A696" s="59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</row>
    <row r="697" ht="15.75" customHeight="1">
      <c r="A697" s="59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</row>
    <row r="698" ht="15.75" customHeight="1">
      <c r="A698" s="59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</row>
    <row r="699" ht="15.75" customHeight="1">
      <c r="A699" s="59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</row>
    <row r="700" ht="15.75" customHeight="1">
      <c r="A700" s="59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</row>
    <row r="701" ht="15.75" customHeight="1">
      <c r="A701" s="59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</row>
    <row r="702" ht="15.75" customHeight="1">
      <c r="A702" s="59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</row>
    <row r="703" ht="15.75" customHeight="1">
      <c r="A703" s="59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</row>
    <row r="704" ht="15.75" customHeight="1">
      <c r="A704" s="59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</row>
    <row r="705" ht="15.75" customHeight="1">
      <c r="A705" s="59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</row>
    <row r="706" ht="15.75" customHeight="1">
      <c r="A706" s="59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</row>
    <row r="707" ht="15.75" customHeight="1">
      <c r="A707" s="59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</row>
    <row r="708" ht="15.75" customHeight="1">
      <c r="A708" s="59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</row>
    <row r="709" ht="15.75" customHeight="1">
      <c r="A709" s="59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</row>
    <row r="710" ht="15.75" customHeight="1">
      <c r="A710" s="59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</row>
    <row r="711" ht="15.75" customHeight="1">
      <c r="A711" s="59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</row>
    <row r="712" ht="15.75" customHeight="1">
      <c r="A712" s="59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</row>
    <row r="713" ht="15.75" customHeight="1">
      <c r="A713" s="59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</row>
    <row r="714" ht="15.75" customHeight="1">
      <c r="A714" s="59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</row>
    <row r="715" ht="15.75" customHeight="1">
      <c r="A715" s="59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</row>
    <row r="716" ht="15.75" customHeight="1">
      <c r="A716" s="59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</row>
    <row r="717" ht="15.75" customHeight="1">
      <c r="A717" s="59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</row>
    <row r="718" ht="15.75" customHeight="1">
      <c r="A718" s="59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</row>
    <row r="719" ht="15.75" customHeight="1">
      <c r="A719" s="59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</row>
    <row r="720" ht="15.75" customHeight="1">
      <c r="A720" s="59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</row>
    <row r="721" ht="15.75" customHeight="1">
      <c r="A721" s="59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</row>
    <row r="722" ht="15.75" customHeight="1">
      <c r="A722" s="59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</row>
    <row r="723" ht="15.75" customHeight="1">
      <c r="A723" s="59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</row>
    <row r="724" ht="15.75" customHeight="1">
      <c r="A724" s="59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</row>
    <row r="725" ht="15.75" customHeight="1">
      <c r="A725" s="59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</row>
    <row r="726" ht="15.75" customHeight="1">
      <c r="A726" s="59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</row>
    <row r="727" ht="15.75" customHeight="1">
      <c r="A727" s="59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</row>
    <row r="728" ht="15.75" customHeight="1">
      <c r="A728" s="59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</row>
    <row r="729" ht="15.75" customHeight="1">
      <c r="A729" s="59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</row>
    <row r="730" ht="15.75" customHeight="1">
      <c r="A730" s="59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</row>
    <row r="731" ht="15.75" customHeight="1">
      <c r="A731" s="59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</row>
    <row r="732" ht="15.75" customHeight="1">
      <c r="A732" s="59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</row>
    <row r="733" ht="15.75" customHeight="1">
      <c r="A733" s="59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</row>
    <row r="734" ht="15.75" customHeight="1">
      <c r="A734" s="59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</row>
    <row r="735" ht="15.75" customHeight="1">
      <c r="A735" s="59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</row>
    <row r="736" ht="15.75" customHeight="1">
      <c r="A736" s="59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</row>
    <row r="737" ht="15.75" customHeight="1">
      <c r="A737" s="59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</row>
    <row r="738" ht="15.75" customHeight="1">
      <c r="A738" s="59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</row>
    <row r="739" ht="15.75" customHeight="1">
      <c r="A739" s="59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</row>
    <row r="740" ht="15.75" customHeight="1">
      <c r="A740" s="59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</row>
    <row r="741" ht="15.75" customHeight="1">
      <c r="A741" s="59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</row>
    <row r="742" ht="15.75" customHeight="1">
      <c r="A742" s="59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</row>
    <row r="743" ht="15.75" customHeight="1">
      <c r="A743" s="59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</row>
    <row r="744" ht="15.75" customHeight="1">
      <c r="A744" s="59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</row>
    <row r="745" ht="15.75" customHeight="1">
      <c r="A745" s="59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</row>
    <row r="746" ht="15.75" customHeight="1">
      <c r="A746" s="59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</row>
    <row r="747" ht="15.75" customHeight="1">
      <c r="A747" s="59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</row>
    <row r="748" ht="15.75" customHeight="1">
      <c r="A748" s="59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</row>
    <row r="749" ht="15.75" customHeight="1">
      <c r="A749" s="59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</row>
    <row r="750" ht="15.75" customHeight="1">
      <c r="A750" s="59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</row>
    <row r="751" ht="15.75" customHeight="1">
      <c r="A751" s="59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</row>
    <row r="752" ht="15.75" customHeight="1">
      <c r="A752" s="59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</row>
    <row r="753" ht="15.75" customHeight="1">
      <c r="A753" s="59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</row>
    <row r="754" ht="15.75" customHeight="1">
      <c r="A754" s="59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</row>
    <row r="755" ht="15.75" customHeight="1">
      <c r="A755" s="59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</row>
    <row r="756" ht="15.75" customHeight="1">
      <c r="A756" s="59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</row>
    <row r="757" ht="15.75" customHeight="1">
      <c r="A757" s="59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</row>
    <row r="758" ht="15.75" customHeight="1">
      <c r="A758" s="59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</row>
    <row r="759" ht="15.75" customHeight="1">
      <c r="A759" s="59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</row>
    <row r="760" ht="15.75" customHeight="1">
      <c r="A760" s="59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</row>
    <row r="761" ht="15.75" customHeight="1">
      <c r="A761" s="59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</row>
    <row r="762" ht="15.75" customHeight="1">
      <c r="A762" s="59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</row>
    <row r="763" ht="15.75" customHeight="1">
      <c r="A763" s="59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</row>
    <row r="764" ht="15.75" customHeight="1">
      <c r="A764" s="59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</row>
    <row r="765" ht="15.75" customHeight="1">
      <c r="A765" s="59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</row>
    <row r="766" ht="15.75" customHeight="1">
      <c r="A766" s="59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</row>
    <row r="767" ht="15.75" customHeight="1">
      <c r="A767" s="59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</row>
    <row r="768" ht="15.75" customHeight="1">
      <c r="A768" s="59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</row>
    <row r="769" ht="15.75" customHeight="1">
      <c r="A769" s="59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</row>
    <row r="770" ht="15.75" customHeight="1">
      <c r="A770" s="59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</row>
    <row r="771" ht="15.75" customHeight="1">
      <c r="A771" s="59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</row>
    <row r="772" ht="15.75" customHeight="1">
      <c r="A772" s="59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</row>
    <row r="773" ht="15.75" customHeight="1">
      <c r="A773" s="59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</row>
    <row r="774" ht="15.75" customHeight="1">
      <c r="A774" s="59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</row>
    <row r="775" ht="15.75" customHeight="1">
      <c r="A775" s="59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</row>
    <row r="776" ht="15.75" customHeight="1">
      <c r="A776" s="59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</row>
    <row r="777" ht="15.75" customHeight="1">
      <c r="A777" s="59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</row>
    <row r="778" ht="15.75" customHeight="1">
      <c r="A778" s="59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</row>
    <row r="779" ht="15.75" customHeight="1">
      <c r="A779" s="59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</row>
    <row r="780" ht="15.75" customHeight="1">
      <c r="A780" s="59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</row>
    <row r="781" ht="15.75" customHeight="1">
      <c r="A781" s="59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</row>
    <row r="782" ht="15.75" customHeight="1">
      <c r="A782" s="59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</row>
    <row r="783" ht="15.75" customHeight="1">
      <c r="A783" s="59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</row>
    <row r="784" ht="15.75" customHeight="1">
      <c r="A784" s="59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</row>
    <row r="785" ht="15.75" customHeight="1">
      <c r="A785" s="59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</row>
    <row r="786" ht="15.75" customHeight="1">
      <c r="A786" s="59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</row>
    <row r="787" ht="15.75" customHeight="1">
      <c r="A787" s="59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</row>
    <row r="788" ht="15.75" customHeight="1">
      <c r="A788" s="59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</row>
    <row r="789" ht="15.75" customHeight="1">
      <c r="A789" s="59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</row>
    <row r="790" ht="15.75" customHeight="1">
      <c r="A790" s="59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</row>
    <row r="791" ht="15.75" customHeight="1">
      <c r="A791" s="59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</row>
    <row r="792" ht="15.75" customHeight="1">
      <c r="A792" s="59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</row>
    <row r="793" ht="15.75" customHeight="1">
      <c r="A793" s="59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</row>
    <row r="794" ht="15.75" customHeight="1">
      <c r="A794" s="59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</row>
    <row r="795" ht="15.75" customHeight="1">
      <c r="A795" s="59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</row>
    <row r="796" ht="15.75" customHeight="1">
      <c r="A796" s="59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</row>
    <row r="797" ht="15.75" customHeight="1">
      <c r="A797" s="59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</row>
    <row r="798" ht="15.75" customHeight="1">
      <c r="A798" s="59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</row>
    <row r="799" ht="15.75" customHeight="1">
      <c r="A799" s="59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</row>
    <row r="800" ht="15.75" customHeight="1">
      <c r="A800" s="59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</row>
    <row r="801" ht="15.75" customHeight="1">
      <c r="A801" s="59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</row>
    <row r="802" ht="15.75" customHeight="1">
      <c r="A802" s="59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</row>
    <row r="803" ht="15.75" customHeight="1">
      <c r="A803" s="59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</row>
    <row r="804" ht="15.75" customHeight="1">
      <c r="A804" s="59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</row>
    <row r="805" ht="15.75" customHeight="1">
      <c r="A805" s="59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</row>
    <row r="806" ht="15.75" customHeight="1">
      <c r="A806" s="59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</row>
    <row r="807" ht="15.75" customHeight="1">
      <c r="A807" s="59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</row>
    <row r="808" ht="15.75" customHeight="1">
      <c r="A808" s="59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</row>
    <row r="809" ht="15.75" customHeight="1">
      <c r="A809" s="59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</row>
    <row r="810" ht="15.75" customHeight="1">
      <c r="A810" s="59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</row>
    <row r="811" ht="15.75" customHeight="1">
      <c r="A811" s="59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</row>
    <row r="812" ht="15.75" customHeight="1">
      <c r="A812" s="59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</row>
    <row r="813" ht="15.75" customHeight="1">
      <c r="A813" s="59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</row>
    <row r="814" ht="15.75" customHeight="1">
      <c r="A814" s="59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</row>
    <row r="815" ht="15.75" customHeight="1">
      <c r="A815" s="59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</row>
    <row r="816" ht="15.75" customHeight="1">
      <c r="A816" s="59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</row>
    <row r="817" ht="15.75" customHeight="1">
      <c r="A817" s="59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</row>
    <row r="818" ht="15.75" customHeight="1">
      <c r="A818" s="59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</row>
    <row r="819" ht="15.75" customHeight="1">
      <c r="A819" s="59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</row>
    <row r="820" ht="15.75" customHeight="1">
      <c r="A820" s="59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</row>
    <row r="821" ht="15.75" customHeight="1">
      <c r="A821" s="59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</row>
    <row r="822" ht="15.75" customHeight="1">
      <c r="A822" s="59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</row>
    <row r="823" ht="15.75" customHeight="1">
      <c r="A823" s="59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</row>
    <row r="824" ht="15.75" customHeight="1">
      <c r="A824" s="59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</row>
    <row r="825" ht="15.75" customHeight="1">
      <c r="A825" s="59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</row>
    <row r="826" ht="15.75" customHeight="1">
      <c r="A826" s="59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</row>
    <row r="827" ht="15.75" customHeight="1">
      <c r="A827" s="59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</row>
    <row r="828" ht="15.75" customHeight="1">
      <c r="A828" s="59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</row>
    <row r="829" ht="15.75" customHeight="1">
      <c r="A829" s="59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</row>
    <row r="830" ht="15.75" customHeight="1">
      <c r="A830" s="59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</row>
    <row r="831" ht="15.75" customHeight="1">
      <c r="A831" s="59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</row>
    <row r="832" ht="15.75" customHeight="1">
      <c r="A832" s="59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</row>
    <row r="833" ht="15.75" customHeight="1">
      <c r="A833" s="59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</row>
    <row r="834" ht="15.75" customHeight="1">
      <c r="A834" s="59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</row>
    <row r="835" ht="15.75" customHeight="1">
      <c r="A835" s="59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</row>
    <row r="836" ht="15.75" customHeight="1">
      <c r="A836" s="59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</row>
    <row r="837" ht="15.75" customHeight="1">
      <c r="A837" s="59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</row>
    <row r="838" ht="15.75" customHeight="1">
      <c r="A838" s="59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</row>
    <row r="839" ht="15.75" customHeight="1">
      <c r="A839" s="59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</row>
    <row r="840" ht="15.75" customHeight="1">
      <c r="A840" s="59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</row>
    <row r="841" ht="15.75" customHeight="1">
      <c r="A841" s="59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</row>
    <row r="842" ht="15.75" customHeight="1">
      <c r="A842" s="59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</row>
    <row r="843" ht="15.75" customHeight="1">
      <c r="A843" s="59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</row>
    <row r="844" ht="15.75" customHeight="1">
      <c r="A844" s="59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</row>
    <row r="845" ht="15.75" customHeight="1">
      <c r="A845" s="59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</row>
    <row r="846" ht="15.75" customHeight="1">
      <c r="A846" s="59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</row>
    <row r="847" ht="15.75" customHeight="1">
      <c r="A847" s="59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</row>
    <row r="848" ht="15.75" customHeight="1">
      <c r="A848" s="59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</row>
    <row r="849" ht="15.75" customHeight="1">
      <c r="A849" s="59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</row>
    <row r="850" ht="15.75" customHeight="1">
      <c r="A850" s="59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</row>
    <row r="851" ht="15.75" customHeight="1">
      <c r="A851" s="59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</row>
    <row r="852" ht="15.75" customHeight="1">
      <c r="A852" s="59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</row>
    <row r="853" ht="15.75" customHeight="1">
      <c r="A853" s="59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</row>
    <row r="854" ht="15.75" customHeight="1">
      <c r="A854" s="59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</row>
    <row r="855" ht="15.75" customHeight="1">
      <c r="A855" s="59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</row>
    <row r="856" ht="15.75" customHeight="1">
      <c r="A856" s="59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</row>
    <row r="857" ht="15.75" customHeight="1">
      <c r="A857" s="59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</row>
    <row r="858" ht="15.75" customHeight="1">
      <c r="A858" s="59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</row>
    <row r="859" ht="15.75" customHeight="1">
      <c r="A859" s="59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</row>
    <row r="860" ht="15.75" customHeight="1">
      <c r="A860" s="59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</row>
    <row r="861" ht="15.75" customHeight="1">
      <c r="A861" s="59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</row>
    <row r="862" ht="15.75" customHeight="1">
      <c r="A862" s="59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</row>
    <row r="863" ht="15.75" customHeight="1">
      <c r="A863" s="59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</row>
    <row r="864" ht="15.75" customHeight="1">
      <c r="A864" s="59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</row>
    <row r="865" ht="15.75" customHeight="1">
      <c r="A865" s="59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</row>
    <row r="866" ht="15.75" customHeight="1">
      <c r="A866" s="59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</row>
    <row r="867" ht="15.75" customHeight="1">
      <c r="A867" s="59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</row>
    <row r="868" ht="15.75" customHeight="1">
      <c r="A868" s="59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</row>
    <row r="869" ht="15.75" customHeight="1">
      <c r="A869" s="59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</row>
    <row r="870" ht="15.75" customHeight="1">
      <c r="A870" s="59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</row>
    <row r="871" ht="15.75" customHeight="1">
      <c r="A871" s="59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</row>
    <row r="872" ht="15.75" customHeight="1">
      <c r="A872" s="59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</row>
    <row r="873" ht="15.75" customHeight="1">
      <c r="A873" s="59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</row>
    <row r="874" ht="15.75" customHeight="1">
      <c r="A874" s="59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</row>
    <row r="875" ht="15.75" customHeight="1">
      <c r="A875" s="59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</row>
    <row r="876" ht="15.75" customHeight="1">
      <c r="A876" s="59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</row>
    <row r="877" ht="15.75" customHeight="1">
      <c r="A877" s="59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</row>
    <row r="878" ht="15.75" customHeight="1">
      <c r="A878" s="59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</row>
    <row r="879" ht="15.75" customHeight="1">
      <c r="A879" s="59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</row>
    <row r="880" ht="15.75" customHeight="1">
      <c r="A880" s="59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</row>
    <row r="881" ht="15.75" customHeight="1">
      <c r="A881" s="59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</row>
    <row r="882" ht="15.75" customHeight="1">
      <c r="A882" s="59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</row>
    <row r="883" ht="15.75" customHeight="1">
      <c r="A883" s="59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</row>
    <row r="884" ht="15.75" customHeight="1">
      <c r="A884" s="59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</row>
    <row r="885" ht="15.75" customHeight="1">
      <c r="A885" s="59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</row>
    <row r="886" ht="15.75" customHeight="1">
      <c r="A886" s="59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</row>
    <row r="887" ht="15.75" customHeight="1">
      <c r="A887" s="59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</row>
    <row r="888" ht="15.75" customHeight="1">
      <c r="A888" s="59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</row>
    <row r="889" ht="15.75" customHeight="1">
      <c r="A889" s="59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</row>
    <row r="890" ht="15.75" customHeight="1">
      <c r="A890" s="59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</row>
    <row r="891" ht="15.75" customHeight="1">
      <c r="A891" s="59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</row>
    <row r="892" ht="15.75" customHeight="1">
      <c r="A892" s="59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</row>
    <row r="893" ht="15.75" customHeight="1">
      <c r="A893" s="59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</row>
    <row r="894" ht="15.75" customHeight="1">
      <c r="A894" s="59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</row>
    <row r="895" ht="15.75" customHeight="1">
      <c r="A895" s="59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</row>
    <row r="896" ht="15.75" customHeight="1">
      <c r="A896" s="59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</row>
    <row r="897" ht="15.75" customHeight="1">
      <c r="A897" s="59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</row>
    <row r="898" ht="15.75" customHeight="1">
      <c r="A898" s="59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</row>
    <row r="899" ht="15.75" customHeight="1">
      <c r="A899" s="59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</row>
    <row r="900" ht="15.75" customHeight="1">
      <c r="A900" s="59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</row>
    <row r="901" ht="15.75" customHeight="1">
      <c r="A901" s="59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</row>
    <row r="902" ht="15.75" customHeight="1">
      <c r="A902" s="59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</row>
    <row r="903" ht="15.75" customHeight="1">
      <c r="A903" s="59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</row>
    <row r="904" ht="15.75" customHeight="1">
      <c r="A904" s="59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</row>
    <row r="905" ht="15.75" customHeight="1">
      <c r="A905" s="59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</row>
    <row r="906" ht="15.75" customHeight="1">
      <c r="A906" s="59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</row>
    <row r="907" ht="15.75" customHeight="1">
      <c r="A907" s="59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</row>
    <row r="908" ht="15.75" customHeight="1">
      <c r="A908" s="59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</row>
    <row r="909" ht="15.75" customHeight="1">
      <c r="A909" s="59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</row>
    <row r="910" ht="15.75" customHeight="1">
      <c r="A910" s="59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</row>
    <row r="911" ht="15.75" customHeight="1">
      <c r="A911" s="59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</row>
    <row r="912" ht="15.75" customHeight="1">
      <c r="A912" s="59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</row>
    <row r="913" ht="15.75" customHeight="1">
      <c r="A913" s="59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</row>
    <row r="914" ht="15.75" customHeight="1">
      <c r="A914" s="59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</row>
    <row r="915" ht="15.75" customHeight="1">
      <c r="A915" s="59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</row>
    <row r="916" ht="15.75" customHeight="1">
      <c r="A916" s="59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</row>
    <row r="917" ht="15.75" customHeight="1">
      <c r="A917" s="59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</row>
    <row r="918" ht="15.75" customHeight="1">
      <c r="A918" s="59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</row>
    <row r="919" ht="15.75" customHeight="1">
      <c r="A919" s="59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</row>
    <row r="920" ht="15.75" customHeight="1">
      <c r="A920" s="59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</row>
    <row r="921" ht="15.75" customHeight="1">
      <c r="A921" s="59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</row>
    <row r="922" ht="15.75" customHeight="1">
      <c r="A922" s="59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</row>
    <row r="923" ht="15.75" customHeight="1">
      <c r="A923" s="59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</row>
    <row r="924" ht="15.75" customHeight="1">
      <c r="A924" s="59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</row>
    <row r="925" ht="15.75" customHeight="1">
      <c r="A925" s="59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</row>
    <row r="926" ht="15.75" customHeight="1">
      <c r="A926" s="59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</row>
    <row r="927" ht="15.75" customHeight="1">
      <c r="A927" s="59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</row>
    <row r="928" ht="15.75" customHeight="1">
      <c r="A928" s="59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</row>
    <row r="929" ht="15.75" customHeight="1">
      <c r="A929" s="59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</row>
    <row r="930" ht="15.75" customHeight="1">
      <c r="A930" s="59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</row>
    <row r="931" ht="15.75" customHeight="1">
      <c r="A931" s="59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</row>
    <row r="932" ht="15.75" customHeight="1">
      <c r="A932" s="59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</row>
    <row r="933" ht="15.75" customHeight="1">
      <c r="A933" s="59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</row>
    <row r="934" ht="15.75" customHeight="1">
      <c r="A934" s="59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</row>
    <row r="935" ht="15.75" customHeight="1">
      <c r="A935" s="59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</row>
    <row r="936" ht="15.75" customHeight="1">
      <c r="A936" s="59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</row>
    <row r="937" ht="15.75" customHeight="1">
      <c r="A937" s="59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</row>
    <row r="938" ht="15.75" customHeight="1">
      <c r="A938" s="59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</row>
    <row r="939" ht="15.75" customHeight="1">
      <c r="A939" s="59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</row>
    <row r="940" ht="15.75" customHeight="1">
      <c r="A940" s="59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</row>
    <row r="941" ht="15.75" customHeight="1">
      <c r="A941" s="59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</row>
    <row r="942" ht="15.75" customHeight="1">
      <c r="A942" s="59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</row>
    <row r="943" ht="15.75" customHeight="1">
      <c r="A943" s="59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</row>
    <row r="944" ht="15.75" customHeight="1">
      <c r="A944" s="59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</row>
    <row r="945" ht="15.75" customHeight="1">
      <c r="A945" s="59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</row>
    <row r="946" ht="15.75" customHeight="1">
      <c r="A946" s="59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</row>
    <row r="947" ht="15.75" customHeight="1">
      <c r="A947" s="59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</row>
    <row r="948" ht="15.75" customHeight="1">
      <c r="A948" s="59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</row>
    <row r="949" ht="15.75" customHeight="1">
      <c r="A949" s="59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</row>
    <row r="950" ht="15.75" customHeight="1">
      <c r="A950" s="59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</row>
    <row r="951" ht="15.75" customHeight="1">
      <c r="A951" s="59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</row>
    <row r="952" ht="15.75" customHeight="1">
      <c r="A952" s="59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</row>
    <row r="953" ht="15.75" customHeight="1">
      <c r="A953" s="59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</row>
    <row r="954" ht="15.75" customHeight="1">
      <c r="A954" s="59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</row>
    <row r="955" ht="15.75" customHeight="1">
      <c r="A955" s="59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</row>
    <row r="956" ht="15.75" customHeight="1">
      <c r="A956" s="59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</row>
    <row r="957" ht="15.75" customHeight="1">
      <c r="A957" s="59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</row>
    <row r="958" ht="15.75" customHeight="1">
      <c r="A958" s="59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</row>
    <row r="959" ht="15.75" customHeight="1">
      <c r="A959" s="59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</row>
    <row r="960" ht="15.75" customHeight="1">
      <c r="A960" s="59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</row>
    <row r="961" ht="15.75" customHeight="1">
      <c r="A961" s="59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</row>
    <row r="962" ht="15.75" customHeight="1">
      <c r="A962" s="59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</row>
    <row r="963" ht="15.75" customHeight="1">
      <c r="A963" s="59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</row>
    <row r="964" ht="15.75" customHeight="1">
      <c r="A964" s="59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</row>
    <row r="965" ht="15.75" customHeight="1">
      <c r="A965" s="59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</row>
    <row r="966" ht="15.75" customHeight="1">
      <c r="A966" s="59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</row>
    <row r="967" ht="15.75" customHeight="1">
      <c r="A967" s="59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</row>
    <row r="968" ht="15.75" customHeight="1">
      <c r="A968" s="59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</row>
    <row r="969" ht="15.75" customHeight="1">
      <c r="A969" s="59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</row>
    <row r="970" ht="15.75" customHeight="1">
      <c r="A970" s="59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</row>
    <row r="971" ht="15.75" customHeight="1">
      <c r="A971" s="59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</row>
    <row r="972" ht="15.75" customHeight="1">
      <c r="A972" s="59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</row>
    <row r="973" ht="15.75" customHeight="1">
      <c r="A973" s="59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</row>
    <row r="974" ht="15.75" customHeight="1">
      <c r="A974" s="59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</row>
    <row r="975" ht="15.75" customHeight="1">
      <c r="A975" s="59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</row>
    <row r="976" ht="15.75" customHeight="1">
      <c r="A976" s="59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</row>
    <row r="977" ht="15.75" customHeight="1">
      <c r="A977" s="59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</row>
    <row r="978" ht="15.75" customHeight="1">
      <c r="A978" s="59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</row>
    <row r="979" ht="15.75" customHeight="1">
      <c r="A979" s="59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</row>
    <row r="980" ht="15.75" customHeight="1">
      <c r="A980" s="59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</row>
    <row r="981" ht="15.75" customHeight="1">
      <c r="A981" s="59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</row>
    <row r="982" ht="15.75" customHeight="1">
      <c r="A982" s="59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</row>
    <row r="983" ht="15.75" customHeight="1">
      <c r="A983" s="59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</row>
    <row r="984" ht="15.75" customHeight="1">
      <c r="A984" s="59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</row>
    <row r="985" ht="15.75" customHeight="1">
      <c r="A985" s="59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</row>
    <row r="986" ht="15.75" customHeight="1">
      <c r="A986" s="59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</row>
    <row r="987" ht="15.75" customHeight="1">
      <c r="A987" s="59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</row>
    <row r="988" ht="15.75" customHeight="1">
      <c r="A988" s="59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</row>
    <row r="989" ht="15.75" customHeight="1">
      <c r="A989" s="59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</row>
    <row r="990" ht="15.75" customHeight="1">
      <c r="A990" s="59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</row>
    <row r="991" ht="15.75" customHeight="1">
      <c r="A991" s="59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</row>
    <row r="992" ht="15.75" customHeight="1">
      <c r="A992" s="59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</row>
    <row r="993" ht="15.75" customHeight="1">
      <c r="A993" s="59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</row>
    <row r="994" ht="15.75" customHeight="1">
      <c r="A994" s="59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</row>
    <row r="995" ht="15.75" customHeight="1">
      <c r="A995" s="59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</row>
    <row r="996" ht="15.75" customHeight="1">
      <c r="A996" s="59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</row>
    <row r="997" ht="15.75" customHeight="1">
      <c r="A997" s="59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</row>
    <row r="998" ht="15.75" customHeight="1">
      <c r="A998" s="59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</row>
    <row r="999" ht="15.75" customHeight="1">
      <c r="A999" s="59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</row>
    <row r="1000" ht="15.75" customHeight="1">
      <c r="A1000" s="59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25"/>
  </cols>
  <sheetData>
    <row r="1" ht="15.75" customHeight="1">
      <c r="A1" s="46" t="s">
        <v>4</v>
      </c>
      <c r="B1" s="47">
        <v>45931.0</v>
      </c>
      <c r="C1" s="48">
        <v>45962.0</v>
      </c>
      <c r="D1" s="47">
        <v>45992.0</v>
      </c>
      <c r="E1" s="48">
        <v>46023.0</v>
      </c>
      <c r="F1" s="47">
        <v>46054.0</v>
      </c>
      <c r="G1" s="47">
        <v>46082.0</v>
      </c>
      <c r="H1" s="47"/>
      <c r="I1" s="47"/>
      <c r="J1" s="47"/>
      <c r="K1" s="47"/>
    </row>
    <row r="2" ht="15.75" customHeight="1">
      <c r="A2" s="49" t="s">
        <v>11</v>
      </c>
      <c r="B2" s="51">
        <v>0.0</v>
      </c>
      <c r="C2" s="51">
        <v>0.0</v>
      </c>
      <c r="D2" s="51">
        <v>0.0</v>
      </c>
      <c r="E2" s="51">
        <v>0.0</v>
      </c>
      <c r="F2" s="51">
        <v>0.0</v>
      </c>
      <c r="G2" s="51">
        <v>0.0</v>
      </c>
      <c r="H2" s="51"/>
      <c r="I2" s="51"/>
      <c r="J2" s="51"/>
      <c r="K2" s="51"/>
    </row>
    <row r="3" ht="15.75" customHeight="1">
      <c r="A3" s="49" t="s">
        <v>13</v>
      </c>
      <c r="B3" s="51">
        <v>125.29</v>
      </c>
      <c r="C3" s="51">
        <v>147.37</v>
      </c>
      <c r="D3" s="51">
        <v>140.78</v>
      </c>
      <c r="E3" s="51">
        <v>142.55</v>
      </c>
      <c r="F3" s="51">
        <v>149.84</v>
      </c>
      <c r="G3" s="51">
        <v>135.63</v>
      </c>
      <c r="H3" s="51"/>
      <c r="I3" s="51"/>
      <c r="J3" s="51"/>
      <c r="K3" s="51"/>
    </row>
    <row r="4" ht="15.75" customHeight="1">
      <c r="A4" s="49" t="s">
        <v>21</v>
      </c>
      <c r="B4" s="51">
        <v>78.4</v>
      </c>
      <c r="C4" s="51">
        <v>75.8</v>
      </c>
      <c r="D4" s="51">
        <v>41.11</v>
      </c>
      <c r="E4" s="51">
        <v>145.39</v>
      </c>
      <c r="F4" s="51">
        <v>162.8</v>
      </c>
      <c r="G4" s="51">
        <v>189.78</v>
      </c>
      <c r="H4" s="51"/>
      <c r="I4" s="51"/>
      <c r="J4" s="51"/>
      <c r="K4" s="51"/>
    </row>
    <row r="5" ht="15.75" customHeight="1">
      <c r="A5" s="49" t="s">
        <v>16</v>
      </c>
      <c r="B5" s="51">
        <v>59.87</v>
      </c>
      <c r="C5" s="51">
        <v>37.21</v>
      </c>
      <c r="D5" s="51">
        <v>20.18</v>
      </c>
      <c r="E5" s="51">
        <v>31.71</v>
      </c>
      <c r="F5" s="51">
        <v>79.86</v>
      </c>
      <c r="G5" s="51">
        <v>41.39</v>
      </c>
      <c r="H5" s="51"/>
      <c r="I5" s="51"/>
      <c r="J5" s="51"/>
      <c r="K5" s="51"/>
    </row>
    <row r="6" ht="15.75" customHeight="1">
      <c r="A6" s="49" t="s">
        <v>18</v>
      </c>
      <c r="B6" s="51">
        <v>746.98</v>
      </c>
      <c r="C6" s="51">
        <v>714.77</v>
      </c>
      <c r="D6" s="51">
        <v>710.22</v>
      </c>
      <c r="E6" s="51">
        <v>758.32</v>
      </c>
      <c r="F6" s="51">
        <v>764.07</v>
      </c>
      <c r="G6" s="51">
        <v>765.16</v>
      </c>
      <c r="H6" s="51"/>
      <c r="I6" s="51"/>
      <c r="J6" s="51"/>
      <c r="K6" s="51"/>
    </row>
    <row r="7" ht="15.75" customHeight="1">
      <c r="A7" s="56"/>
    </row>
    <row r="8" ht="15.75" customHeight="1">
      <c r="A8" s="56"/>
    </row>
    <row r="9" ht="15.75" customHeight="1">
      <c r="A9" s="56"/>
    </row>
    <row r="10" ht="15.75" customHeight="1">
      <c r="A10" s="56"/>
    </row>
    <row r="11" ht="15.75" customHeight="1">
      <c r="A11" s="56"/>
    </row>
    <row r="12" ht="15.75" customHeight="1">
      <c r="A12" s="56"/>
    </row>
    <row r="13" ht="15.75" customHeight="1">
      <c r="A13" s="56"/>
    </row>
    <row r="14" ht="15.75" customHeight="1">
      <c r="A14" s="56"/>
    </row>
    <row r="15" ht="15.75" customHeight="1">
      <c r="A15" s="56"/>
    </row>
    <row r="16" ht="15.75" customHeight="1">
      <c r="A16" s="56"/>
    </row>
    <row r="17" ht="15.75" customHeight="1">
      <c r="A17" s="56"/>
    </row>
    <row r="18" ht="15.75" customHeight="1">
      <c r="A18" s="56"/>
    </row>
    <row r="19" ht="15.75" customHeight="1">
      <c r="A19" s="56"/>
    </row>
    <row r="20" ht="15.75" customHeight="1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/>
    </row>
    <row r="28" ht="15.75" customHeight="1">
      <c r="A28" s="56"/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6" width="12.63"/>
  </cols>
  <sheetData>
    <row r="1" ht="15.75" customHeight="1">
      <c r="A1" s="49" t="s">
        <v>22</v>
      </c>
    </row>
    <row r="2" ht="15.75" customHeight="1">
      <c r="A2" s="60" t="s">
        <v>23</v>
      </c>
    </row>
    <row r="3" ht="15.75" customHeight="1">
      <c r="A3" s="60" t="s">
        <v>24</v>
      </c>
    </row>
    <row r="4" ht="15.75" customHeight="1">
      <c r="A4" s="60" t="s">
        <v>25</v>
      </c>
    </row>
    <row r="5" ht="15.75" customHeight="1">
      <c r="A5" s="60" t="s">
        <v>26</v>
      </c>
    </row>
    <row r="6" ht="15.75" customHeight="1">
      <c r="A6" s="60" t="s">
        <v>27</v>
      </c>
    </row>
    <row r="7" ht="15.75" customHeight="1">
      <c r="A7" s="60" t="s">
        <v>28</v>
      </c>
    </row>
    <row r="8" ht="15.75" customHeight="1">
      <c r="A8" s="60" t="s">
        <v>29</v>
      </c>
    </row>
    <row r="9" ht="15.75" customHeight="1">
      <c r="A9" s="60" t="s">
        <v>30</v>
      </c>
    </row>
    <row r="10" ht="15.75" customHeight="1">
      <c r="A10" s="61" t="s">
        <v>31</v>
      </c>
    </row>
    <row r="11" ht="15.75" customHeight="1">
      <c r="A11" s="61" t="s">
        <v>32</v>
      </c>
    </row>
    <row r="12" ht="15.75" customHeight="1">
      <c r="A12" s="60" t="s">
        <v>33</v>
      </c>
    </row>
    <row r="13" ht="15.75" customHeight="1">
      <c r="A13" s="60" t="s">
        <v>34</v>
      </c>
    </row>
    <row r="14" ht="15.75" customHeight="1">
      <c r="A14" s="60" t="s">
        <v>35</v>
      </c>
    </row>
    <row r="15" ht="15.75" customHeight="1">
      <c r="A15" s="60" t="s">
        <v>36</v>
      </c>
    </row>
    <row r="16" ht="15.75" customHeight="1">
      <c r="A16" s="60" t="s">
        <v>37</v>
      </c>
    </row>
    <row r="17" ht="15.75" customHeight="1">
      <c r="A17" s="60" t="s">
        <v>1</v>
      </c>
    </row>
    <row r="18" ht="15.75" customHeight="1">
      <c r="A18" s="60" t="s">
        <v>38</v>
      </c>
    </row>
    <row r="19" ht="15.75" customHeight="1">
      <c r="A19" s="60" t="s">
        <v>39</v>
      </c>
    </row>
    <row r="20" ht="15.75" customHeight="1">
      <c r="A20" s="60" t="s">
        <v>40</v>
      </c>
    </row>
    <row r="21" ht="15.75" customHeight="1">
      <c r="A21" s="61" t="s">
        <v>41</v>
      </c>
    </row>
    <row r="22" ht="15.75" customHeight="1">
      <c r="A22" s="61" t="s">
        <v>42</v>
      </c>
    </row>
    <row r="23" ht="15.75" customHeight="1">
      <c r="A23" s="61" t="s">
        <v>43</v>
      </c>
    </row>
    <row r="24" ht="15.75" customHeight="1">
      <c r="A24" s="61" t="s">
        <v>44</v>
      </c>
    </row>
    <row r="25" ht="15.75" customHeight="1">
      <c r="A25" s="61" t="s">
        <v>45</v>
      </c>
    </row>
    <row r="26" ht="15.75" customHeight="1">
      <c r="A26" s="61" t="s">
        <v>46</v>
      </c>
    </row>
    <row r="27" ht="15.75" customHeight="1">
      <c r="A27" s="61" t="s">
        <v>47</v>
      </c>
    </row>
    <row r="28" ht="15.75" customHeight="1">
      <c r="A28" s="61" t="s">
        <v>48</v>
      </c>
    </row>
    <row r="29" ht="15.75" customHeight="1">
      <c r="A29" s="56"/>
    </row>
    <row r="30" ht="15.75" customHeight="1">
      <c r="A30" s="56"/>
    </row>
    <row r="31" ht="15.75" customHeight="1">
      <c r="A31" s="56"/>
    </row>
    <row r="32" ht="15.75" customHeight="1">
      <c r="A32" s="56"/>
    </row>
    <row r="33" ht="15.75" customHeight="1">
      <c r="A33" s="56"/>
    </row>
    <row r="34" ht="15.75" customHeight="1">
      <c r="A34" s="56"/>
    </row>
    <row r="35" ht="15.75" customHeight="1">
      <c r="A35" s="56"/>
    </row>
    <row r="36" ht="15.75" customHeight="1">
      <c r="A36" s="56"/>
    </row>
    <row r="37" ht="15.75" customHeight="1">
      <c r="A37" s="56"/>
    </row>
    <row r="38" ht="15.75" customHeight="1">
      <c r="A38" s="56"/>
    </row>
    <row r="39" ht="15.75" customHeight="1">
      <c r="A39" s="56"/>
    </row>
    <row r="40" ht="15.75" customHeight="1">
      <c r="A40" s="56"/>
    </row>
    <row r="41" ht="15.75" customHeight="1">
      <c r="A41" s="56"/>
    </row>
    <row r="42" ht="15.75" customHeight="1">
      <c r="A42" s="56"/>
    </row>
    <row r="43" ht="15.75" customHeight="1">
      <c r="A43" s="56"/>
    </row>
    <row r="44" ht="15.75" customHeight="1">
      <c r="A44" s="56"/>
    </row>
    <row r="45" ht="15.75" customHeight="1">
      <c r="A45" s="56"/>
    </row>
    <row r="46" ht="15.75" customHeight="1">
      <c r="A46" s="56"/>
    </row>
    <row r="47" ht="15.75" customHeight="1">
      <c r="A47" s="56"/>
    </row>
    <row r="48" ht="15.75" customHeight="1">
      <c r="A48" s="56"/>
    </row>
    <row r="49" ht="15.75" customHeight="1">
      <c r="A49" s="56"/>
    </row>
    <row r="50" ht="15.75" customHeight="1">
      <c r="A50" s="56"/>
    </row>
    <row r="51" ht="15.75" customHeight="1">
      <c r="A51" s="56"/>
    </row>
    <row r="52" ht="15.75" customHeight="1">
      <c r="A52" s="56"/>
    </row>
    <row r="53" ht="15.75" customHeight="1">
      <c r="A53" s="56"/>
    </row>
    <row r="54" ht="15.75" customHeight="1">
      <c r="A54" s="56"/>
    </row>
    <row r="55" ht="15.75" customHeight="1">
      <c r="A55" s="56"/>
    </row>
    <row r="56" ht="15.75" customHeight="1">
      <c r="A56" s="56"/>
    </row>
    <row r="57" ht="15.75" customHeight="1">
      <c r="A57" s="56"/>
    </row>
    <row r="58" ht="15.75" customHeight="1">
      <c r="A58" s="56"/>
    </row>
    <row r="59" ht="15.75" customHeight="1">
      <c r="A59" s="56"/>
    </row>
    <row r="60" ht="15.75" customHeight="1">
      <c r="A60" s="56"/>
    </row>
    <row r="61" ht="15.75" customHeight="1">
      <c r="A61" s="56"/>
    </row>
    <row r="62" ht="15.75" customHeight="1">
      <c r="A62" s="56"/>
    </row>
    <row r="63" ht="15.75" customHeight="1">
      <c r="A63" s="56"/>
    </row>
    <row r="64" ht="15.75" customHeight="1">
      <c r="A64" s="56"/>
    </row>
    <row r="65" ht="15.75" customHeight="1">
      <c r="A65" s="56"/>
    </row>
    <row r="66" ht="15.75" customHeight="1">
      <c r="A66" s="56"/>
    </row>
    <row r="67" ht="15.75" customHeight="1">
      <c r="A67" s="56"/>
    </row>
    <row r="68" ht="15.75" customHeight="1">
      <c r="A68" s="56"/>
    </row>
    <row r="69" ht="15.75" customHeight="1">
      <c r="A69" s="56"/>
    </row>
    <row r="70" ht="15.75" customHeight="1">
      <c r="A70" s="56"/>
    </row>
    <row r="71" ht="15.75" customHeight="1">
      <c r="A71" s="56"/>
    </row>
    <row r="72" ht="15.75" customHeight="1">
      <c r="A72" s="56"/>
    </row>
    <row r="73" ht="15.75" customHeight="1">
      <c r="A73" s="56"/>
    </row>
    <row r="74" ht="15.75" customHeight="1">
      <c r="A74" s="56"/>
    </row>
    <row r="75" ht="15.75" customHeight="1">
      <c r="A75" s="56"/>
    </row>
    <row r="76" ht="15.75" customHeight="1">
      <c r="A76" s="56"/>
    </row>
    <row r="77" ht="15.75" customHeight="1">
      <c r="A77" s="56"/>
    </row>
    <row r="78" ht="15.75" customHeight="1">
      <c r="A78" s="56"/>
    </row>
    <row r="79" ht="15.75" customHeight="1">
      <c r="A79" s="56"/>
    </row>
    <row r="80" ht="15.75" customHeight="1">
      <c r="A80" s="56"/>
    </row>
    <row r="81" ht="15.75" customHeight="1">
      <c r="A81" s="56"/>
    </row>
    <row r="82" ht="15.75" customHeight="1">
      <c r="A82" s="56"/>
    </row>
    <row r="83" ht="15.75" customHeight="1">
      <c r="A83" s="56"/>
    </row>
    <row r="84" ht="15.75" customHeight="1">
      <c r="A84" s="56"/>
    </row>
    <row r="85" ht="15.75" customHeight="1">
      <c r="A85" s="56"/>
    </row>
    <row r="86" ht="15.75" customHeight="1">
      <c r="A86" s="56"/>
    </row>
    <row r="87" ht="15.75" customHeight="1">
      <c r="A87" s="56"/>
    </row>
    <row r="88" ht="15.75" customHeight="1">
      <c r="A88" s="56"/>
    </row>
    <row r="89" ht="15.75" customHeight="1">
      <c r="A89" s="56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</row>
    <row r="112" ht="15.75" customHeight="1">
      <c r="A112" s="56"/>
    </row>
    <row r="113" ht="15.75" customHeight="1">
      <c r="A113" s="56"/>
    </row>
    <row r="114" ht="15.75" customHeight="1">
      <c r="A114" s="56"/>
    </row>
    <row r="115" ht="15.75" customHeight="1">
      <c r="A115" s="56"/>
    </row>
    <row r="116" ht="15.75" customHeight="1">
      <c r="A116" s="56"/>
    </row>
    <row r="117" ht="15.75" customHeight="1">
      <c r="A117" s="56"/>
    </row>
    <row r="118" ht="15.75" customHeight="1">
      <c r="A118" s="56"/>
    </row>
    <row r="119" ht="15.75" customHeight="1">
      <c r="A119" s="56"/>
    </row>
    <row r="120" ht="15.75" customHeight="1">
      <c r="A120" s="56"/>
    </row>
    <row r="121" ht="15.75" customHeight="1">
      <c r="A121" s="56"/>
    </row>
    <row r="122" ht="15.75" customHeight="1">
      <c r="A122" s="56"/>
    </row>
    <row r="123" ht="15.75" customHeight="1">
      <c r="A123" s="56"/>
    </row>
    <row r="124" ht="15.75" customHeight="1">
      <c r="A124" s="56"/>
    </row>
    <row r="125" ht="15.75" customHeight="1">
      <c r="A125" s="56"/>
    </row>
    <row r="126" ht="15.75" customHeight="1">
      <c r="A126" s="56"/>
    </row>
    <row r="127" ht="15.75" customHeight="1">
      <c r="A127" s="56"/>
    </row>
    <row r="128" ht="15.75" customHeight="1">
      <c r="A128" s="56"/>
    </row>
    <row r="129" ht="15.75" customHeight="1">
      <c r="A129" s="56"/>
    </row>
    <row r="130" ht="15.75" customHeight="1">
      <c r="A130" s="56"/>
    </row>
    <row r="131" ht="15.75" customHeight="1">
      <c r="A131" s="56"/>
    </row>
    <row r="132" ht="15.75" customHeight="1">
      <c r="A132" s="56"/>
    </row>
    <row r="133" ht="15.75" customHeight="1">
      <c r="A133" s="56"/>
    </row>
    <row r="134" ht="15.75" customHeight="1">
      <c r="A134" s="56"/>
    </row>
    <row r="135" ht="15.75" customHeight="1">
      <c r="A135" s="56"/>
    </row>
    <row r="136" ht="15.75" customHeight="1">
      <c r="A136" s="56"/>
    </row>
    <row r="137" ht="15.75" customHeight="1">
      <c r="A137" s="56"/>
    </row>
    <row r="138" ht="15.75" customHeight="1">
      <c r="A138" s="56"/>
    </row>
    <row r="139" ht="15.75" customHeight="1">
      <c r="A139" s="56"/>
    </row>
    <row r="140" ht="15.75" customHeight="1">
      <c r="A140" s="56"/>
    </row>
    <row r="141" ht="15.75" customHeight="1">
      <c r="A141" s="56"/>
    </row>
    <row r="142" ht="15.75" customHeight="1">
      <c r="A142" s="56"/>
    </row>
    <row r="143" ht="15.75" customHeight="1">
      <c r="A143" s="56"/>
    </row>
    <row r="144" ht="15.75" customHeight="1">
      <c r="A144" s="56"/>
    </row>
    <row r="145" ht="15.75" customHeight="1">
      <c r="A145" s="56"/>
    </row>
    <row r="146" ht="15.75" customHeight="1">
      <c r="A146" s="56"/>
    </row>
    <row r="147" ht="15.75" customHeight="1">
      <c r="A147" s="56"/>
    </row>
    <row r="148" ht="15.75" customHeight="1">
      <c r="A148" s="56"/>
    </row>
    <row r="149" ht="15.75" customHeight="1">
      <c r="A149" s="56"/>
    </row>
    <row r="150" ht="15.75" customHeight="1">
      <c r="A150" s="56"/>
    </row>
    <row r="151" ht="15.75" customHeight="1">
      <c r="A151" s="56"/>
    </row>
    <row r="152" ht="15.75" customHeight="1">
      <c r="A152" s="56"/>
    </row>
    <row r="153" ht="15.75" customHeight="1">
      <c r="A153" s="56"/>
    </row>
    <row r="154" ht="15.75" customHeight="1">
      <c r="A154" s="56"/>
    </row>
    <row r="155" ht="15.75" customHeight="1">
      <c r="A155" s="56"/>
    </row>
    <row r="156" ht="15.75" customHeight="1">
      <c r="A156" s="56"/>
    </row>
    <row r="157" ht="15.75" customHeight="1">
      <c r="A157" s="56"/>
    </row>
    <row r="158" ht="15.75" customHeight="1">
      <c r="A158" s="56"/>
    </row>
    <row r="159" ht="15.75" customHeight="1">
      <c r="A159" s="56"/>
    </row>
    <row r="160" ht="15.75" customHeight="1">
      <c r="A160" s="56"/>
    </row>
    <row r="161" ht="15.75" customHeight="1">
      <c r="A161" s="56"/>
    </row>
    <row r="162" ht="15.75" customHeight="1">
      <c r="A162" s="56"/>
    </row>
    <row r="163" ht="15.75" customHeight="1">
      <c r="A163" s="56"/>
    </row>
    <row r="164" ht="15.75" customHeight="1">
      <c r="A164" s="56"/>
    </row>
    <row r="165" ht="15.75" customHeight="1">
      <c r="A165" s="56"/>
    </row>
    <row r="166" ht="15.75" customHeight="1">
      <c r="A166" s="56"/>
    </row>
    <row r="167" ht="15.75" customHeight="1">
      <c r="A167" s="56"/>
    </row>
    <row r="168" ht="15.75" customHeight="1">
      <c r="A168" s="56"/>
    </row>
    <row r="169" ht="15.75" customHeight="1">
      <c r="A169" s="56"/>
    </row>
    <row r="170" ht="15.75" customHeight="1">
      <c r="A170" s="56"/>
    </row>
    <row r="171" ht="15.75" customHeight="1">
      <c r="A171" s="56"/>
    </row>
    <row r="172" ht="15.75" customHeight="1">
      <c r="A172" s="56"/>
    </row>
    <row r="173" ht="15.75" customHeight="1">
      <c r="A173" s="56"/>
    </row>
    <row r="174" ht="15.75" customHeight="1">
      <c r="A174" s="56"/>
    </row>
    <row r="175" ht="15.75" customHeight="1">
      <c r="A175" s="56"/>
    </row>
    <row r="176" ht="15.75" customHeight="1">
      <c r="A176" s="56"/>
    </row>
    <row r="177" ht="15.75" customHeight="1">
      <c r="A177" s="56"/>
    </row>
    <row r="178" ht="15.75" customHeight="1">
      <c r="A178" s="56"/>
    </row>
    <row r="179" ht="15.75" customHeight="1">
      <c r="A179" s="56"/>
    </row>
    <row r="180" ht="15.75" customHeight="1">
      <c r="A180" s="56"/>
    </row>
    <row r="181" ht="15.75" customHeight="1">
      <c r="A181" s="56"/>
    </row>
    <row r="182" ht="15.75" customHeight="1">
      <c r="A182" s="56"/>
    </row>
    <row r="183" ht="15.75" customHeight="1">
      <c r="A183" s="56"/>
    </row>
    <row r="184" ht="15.75" customHeight="1">
      <c r="A184" s="56"/>
    </row>
    <row r="185" ht="15.75" customHeight="1">
      <c r="A185" s="56"/>
    </row>
    <row r="186" ht="15.75" customHeight="1">
      <c r="A186" s="56"/>
    </row>
    <row r="187" ht="15.75" customHeight="1">
      <c r="A187" s="56"/>
    </row>
    <row r="188" ht="15.75" customHeight="1">
      <c r="A188" s="56"/>
    </row>
    <row r="189" ht="15.75" customHeight="1">
      <c r="A189" s="56"/>
    </row>
    <row r="190" ht="15.75" customHeight="1">
      <c r="A190" s="56"/>
    </row>
    <row r="191" ht="15.75" customHeight="1">
      <c r="A191" s="56"/>
    </row>
    <row r="192" ht="15.75" customHeight="1">
      <c r="A192" s="56"/>
    </row>
    <row r="193" ht="15.75" customHeight="1">
      <c r="A193" s="56"/>
    </row>
    <row r="194" ht="15.75" customHeight="1">
      <c r="A194" s="56"/>
    </row>
    <row r="195" ht="15.75" customHeight="1">
      <c r="A195" s="56"/>
    </row>
    <row r="196" ht="15.75" customHeight="1">
      <c r="A196" s="56"/>
    </row>
    <row r="197" ht="15.75" customHeight="1">
      <c r="A197" s="56"/>
    </row>
    <row r="198" ht="15.75" customHeight="1">
      <c r="A198" s="56"/>
    </row>
    <row r="199" ht="15.75" customHeight="1">
      <c r="A199" s="56"/>
    </row>
    <row r="200" ht="15.75" customHeight="1">
      <c r="A200" s="56"/>
    </row>
    <row r="201" ht="15.75" customHeight="1">
      <c r="A201" s="56"/>
    </row>
    <row r="202" ht="15.75" customHeight="1">
      <c r="A202" s="56"/>
    </row>
    <row r="203" ht="15.75" customHeight="1">
      <c r="A203" s="56"/>
    </row>
    <row r="204" ht="15.75" customHeight="1">
      <c r="A204" s="56"/>
    </row>
    <row r="205" ht="15.75" customHeight="1">
      <c r="A205" s="56"/>
    </row>
    <row r="206" ht="15.75" customHeight="1">
      <c r="A206" s="56"/>
    </row>
    <row r="207" ht="15.75" customHeight="1">
      <c r="A207" s="56"/>
    </row>
    <row r="208" ht="15.75" customHeight="1">
      <c r="A208" s="56"/>
    </row>
    <row r="209" ht="15.75" customHeight="1">
      <c r="A209" s="56"/>
    </row>
    <row r="210" ht="15.75" customHeight="1">
      <c r="A210" s="56"/>
    </row>
    <row r="211" ht="15.75" customHeight="1">
      <c r="A211" s="56"/>
    </row>
    <row r="212" ht="15.75" customHeight="1">
      <c r="A212" s="56"/>
    </row>
    <row r="213" ht="15.75" customHeight="1">
      <c r="A213" s="56"/>
    </row>
    <row r="214" ht="15.75" customHeight="1">
      <c r="A214" s="56"/>
    </row>
    <row r="215" ht="15.75" customHeight="1">
      <c r="A215" s="56"/>
    </row>
    <row r="216" ht="15.75" customHeight="1">
      <c r="A216" s="56"/>
    </row>
    <row r="217" ht="15.75" customHeight="1">
      <c r="A217" s="56"/>
    </row>
    <row r="218" ht="15.75" customHeight="1">
      <c r="A218" s="56"/>
    </row>
    <row r="219" ht="15.75" customHeight="1">
      <c r="A219" s="56"/>
    </row>
    <row r="220" ht="15.75" customHeight="1">
      <c r="A220" s="56"/>
    </row>
    <row r="221" ht="15.75" customHeight="1">
      <c r="A221" s="56"/>
    </row>
    <row r="222" ht="15.75" customHeight="1">
      <c r="A222" s="56"/>
    </row>
    <row r="223" ht="15.75" customHeight="1">
      <c r="A223" s="56"/>
    </row>
    <row r="224" ht="15.75" customHeight="1">
      <c r="A224" s="56"/>
    </row>
    <row r="225" ht="15.75" customHeight="1">
      <c r="A225" s="56"/>
    </row>
    <row r="226" ht="15.75" customHeight="1">
      <c r="A226" s="56"/>
    </row>
    <row r="227" ht="15.75" customHeight="1">
      <c r="A227" s="56"/>
    </row>
    <row r="228" ht="15.75" customHeight="1">
      <c r="A228" s="56"/>
    </row>
    <row r="229" ht="15.75" customHeight="1">
      <c r="A229" s="56"/>
    </row>
    <row r="230" ht="15.75" customHeight="1">
      <c r="A230" s="56"/>
    </row>
    <row r="231" ht="15.75" customHeight="1">
      <c r="A231" s="56"/>
    </row>
    <row r="232" ht="15.75" customHeight="1">
      <c r="A232" s="56"/>
    </row>
    <row r="233" ht="15.75" customHeight="1">
      <c r="A233" s="56"/>
    </row>
    <row r="234" ht="15.75" customHeight="1">
      <c r="A234" s="56"/>
    </row>
    <row r="235" ht="15.75" customHeight="1">
      <c r="A235" s="56"/>
    </row>
    <row r="236" ht="15.75" customHeight="1">
      <c r="A236" s="56"/>
    </row>
    <row r="237" ht="15.75" customHeight="1">
      <c r="A237" s="56"/>
    </row>
    <row r="238" ht="15.75" customHeight="1">
      <c r="A238" s="56"/>
    </row>
    <row r="239" ht="15.75" customHeight="1">
      <c r="A239" s="56"/>
    </row>
    <row r="240" ht="15.75" customHeight="1">
      <c r="A240" s="56"/>
    </row>
    <row r="241" ht="15.75" customHeight="1">
      <c r="A241" s="56"/>
    </row>
    <row r="242" ht="15.75" customHeight="1">
      <c r="A242" s="56"/>
    </row>
    <row r="243" ht="15.75" customHeight="1">
      <c r="A243" s="56"/>
    </row>
    <row r="244" ht="15.75" customHeight="1">
      <c r="A244" s="56"/>
    </row>
    <row r="245" ht="15.75" customHeight="1">
      <c r="A245" s="56"/>
    </row>
    <row r="246" ht="15.75" customHeight="1">
      <c r="A246" s="56"/>
    </row>
    <row r="247" ht="15.75" customHeight="1">
      <c r="A247" s="56"/>
    </row>
    <row r="248" ht="15.75" customHeight="1">
      <c r="A248" s="56"/>
    </row>
    <row r="249" ht="15.75" customHeight="1">
      <c r="A249" s="56"/>
    </row>
    <row r="250" ht="15.75" customHeight="1">
      <c r="A250" s="56"/>
    </row>
    <row r="251" ht="15.75" customHeight="1">
      <c r="A251" s="56"/>
    </row>
    <row r="252" ht="15.75" customHeight="1">
      <c r="A252" s="56"/>
    </row>
    <row r="253" ht="15.75" customHeight="1">
      <c r="A253" s="56"/>
    </row>
    <row r="254" ht="15.75" customHeight="1">
      <c r="A254" s="56"/>
    </row>
    <row r="255" ht="15.75" customHeight="1">
      <c r="A255" s="56"/>
    </row>
    <row r="256" ht="15.75" customHeight="1">
      <c r="A256" s="56"/>
    </row>
    <row r="257" ht="15.75" customHeight="1">
      <c r="A257" s="56"/>
    </row>
    <row r="258" ht="15.75" customHeight="1">
      <c r="A258" s="56"/>
    </row>
    <row r="259" ht="15.75" customHeight="1">
      <c r="A259" s="56"/>
    </row>
    <row r="260" ht="15.75" customHeight="1">
      <c r="A260" s="56"/>
    </row>
    <row r="261" ht="15.75" customHeight="1">
      <c r="A261" s="56"/>
    </row>
    <row r="262" ht="15.75" customHeight="1">
      <c r="A262" s="56"/>
    </row>
    <row r="263" ht="15.75" customHeight="1">
      <c r="A263" s="56"/>
    </row>
    <row r="264" ht="15.75" customHeight="1">
      <c r="A264" s="56"/>
    </row>
    <row r="265" ht="15.75" customHeight="1">
      <c r="A265" s="56"/>
    </row>
    <row r="266" ht="15.75" customHeight="1">
      <c r="A266" s="56"/>
    </row>
    <row r="267" ht="15.75" customHeight="1">
      <c r="A267" s="56"/>
    </row>
    <row r="268" ht="15.75" customHeight="1">
      <c r="A268" s="56"/>
    </row>
    <row r="269" ht="15.75" customHeight="1">
      <c r="A269" s="56"/>
    </row>
    <row r="270" ht="15.75" customHeight="1">
      <c r="A270" s="56"/>
    </row>
    <row r="271" ht="15.75" customHeight="1">
      <c r="A271" s="56"/>
    </row>
    <row r="272" ht="15.75" customHeight="1">
      <c r="A272" s="56"/>
    </row>
    <row r="273" ht="15.75" customHeight="1">
      <c r="A273" s="56"/>
    </row>
    <row r="274" ht="15.75" customHeight="1">
      <c r="A274" s="56"/>
    </row>
    <row r="275" ht="15.75" customHeight="1">
      <c r="A275" s="56"/>
    </row>
    <row r="276" ht="15.75" customHeight="1">
      <c r="A276" s="56"/>
    </row>
    <row r="277" ht="15.75" customHeight="1">
      <c r="A277" s="56"/>
    </row>
    <row r="278" ht="15.75" customHeight="1">
      <c r="A278" s="56"/>
    </row>
    <row r="279" ht="15.75" customHeight="1">
      <c r="A279" s="56"/>
    </row>
    <row r="280" ht="15.75" customHeight="1">
      <c r="A280" s="56"/>
    </row>
    <row r="281" ht="15.75" customHeight="1">
      <c r="A281" s="56"/>
    </row>
    <row r="282" ht="15.75" customHeight="1">
      <c r="A282" s="56"/>
    </row>
    <row r="283" ht="15.75" customHeight="1">
      <c r="A283" s="56"/>
    </row>
    <row r="284" ht="15.75" customHeight="1">
      <c r="A284" s="56"/>
    </row>
    <row r="285" ht="15.75" customHeight="1">
      <c r="A285" s="56"/>
    </row>
    <row r="286" ht="15.75" customHeight="1">
      <c r="A286" s="56"/>
    </row>
    <row r="287" ht="15.75" customHeight="1">
      <c r="A287" s="56"/>
    </row>
    <row r="288" ht="15.75" customHeight="1">
      <c r="A288" s="56"/>
    </row>
    <row r="289" ht="15.75" customHeight="1">
      <c r="A289" s="56"/>
    </row>
    <row r="290" ht="15.75" customHeight="1">
      <c r="A290" s="56"/>
    </row>
    <row r="291" ht="15.75" customHeight="1">
      <c r="A291" s="56"/>
    </row>
    <row r="292" ht="15.75" customHeight="1">
      <c r="A292" s="56"/>
    </row>
    <row r="293" ht="15.75" customHeight="1">
      <c r="A293" s="56"/>
    </row>
    <row r="294" ht="15.75" customHeight="1">
      <c r="A294" s="56"/>
    </row>
    <row r="295" ht="15.75" customHeight="1">
      <c r="A295" s="56"/>
    </row>
    <row r="296" ht="15.75" customHeight="1">
      <c r="A296" s="56"/>
    </row>
    <row r="297" ht="15.75" customHeight="1">
      <c r="A297" s="56"/>
    </row>
    <row r="298" ht="15.75" customHeight="1">
      <c r="A298" s="56"/>
    </row>
    <row r="299" ht="15.75" customHeight="1">
      <c r="A299" s="56"/>
    </row>
    <row r="300" ht="15.75" customHeight="1">
      <c r="A300" s="56"/>
    </row>
    <row r="301" ht="15.75" customHeight="1">
      <c r="A301" s="56"/>
    </row>
    <row r="302" ht="15.75" customHeight="1">
      <c r="A302" s="56"/>
    </row>
    <row r="303" ht="15.75" customHeight="1">
      <c r="A303" s="56"/>
    </row>
    <row r="304" ht="15.75" customHeight="1">
      <c r="A304" s="56"/>
    </row>
    <row r="305" ht="15.75" customHeight="1">
      <c r="A305" s="56"/>
    </row>
    <row r="306" ht="15.75" customHeight="1">
      <c r="A306" s="56"/>
    </row>
    <row r="307" ht="15.75" customHeight="1">
      <c r="A307" s="56"/>
    </row>
    <row r="308" ht="15.75" customHeight="1">
      <c r="A308" s="56"/>
    </row>
    <row r="309" ht="15.75" customHeight="1">
      <c r="A309" s="56"/>
    </row>
    <row r="310" ht="15.75" customHeight="1">
      <c r="A310" s="56"/>
    </row>
    <row r="311" ht="15.75" customHeight="1">
      <c r="A311" s="56"/>
    </row>
    <row r="312" ht="15.75" customHeight="1">
      <c r="A312" s="56"/>
    </row>
    <row r="313" ht="15.75" customHeight="1">
      <c r="A313" s="56"/>
    </row>
    <row r="314" ht="15.75" customHeight="1">
      <c r="A314" s="56"/>
    </row>
    <row r="315" ht="15.75" customHeight="1">
      <c r="A315" s="56"/>
    </row>
    <row r="316" ht="15.75" customHeight="1">
      <c r="A316" s="56"/>
    </row>
    <row r="317" ht="15.75" customHeight="1">
      <c r="A317" s="56"/>
    </row>
    <row r="318" ht="15.75" customHeight="1">
      <c r="A318" s="56"/>
    </row>
    <row r="319" ht="15.75" customHeight="1">
      <c r="A319" s="56"/>
    </row>
    <row r="320" ht="15.75" customHeight="1">
      <c r="A320" s="56"/>
    </row>
    <row r="321" ht="15.75" customHeight="1">
      <c r="A321" s="56"/>
    </row>
    <row r="322" ht="15.75" customHeight="1">
      <c r="A322" s="56"/>
    </row>
    <row r="323" ht="15.75" customHeight="1">
      <c r="A323" s="56"/>
    </row>
    <row r="324" ht="15.75" customHeight="1">
      <c r="A324" s="56"/>
    </row>
    <row r="325" ht="15.75" customHeight="1">
      <c r="A325" s="56"/>
    </row>
    <row r="326" ht="15.75" customHeight="1">
      <c r="A326" s="56"/>
    </row>
    <row r="327" ht="15.75" customHeight="1">
      <c r="A327" s="56"/>
    </row>
    <row r="328" ht="15.75" customHeight="1">
      <c r="A328" s="56"/>
    </row>
    <row r="329" ht="15.75" customHeight="1">
      <c r="A329" s="56"/>
    </row>
    <row r="330" ht="15.75" customHeight="1">
      <c r="A330" s="56"/>
    </row>
    <row r="331" ht="15.75" customHeight="1">
      <c r="A331" s="56"/>
    </row>
    <row r="332" ht="15.75" customHeight="1">
      <c r="A332" s="56"/>
    </row>
    <row r="333" ht="15.75" customHeight="1">
      <c r="A333" s="56"/>
    </row>
    <row r="334" ht="15.75" customHeight="1">
      <c r="A334" s="56"/>
    </row>
    <row r="335" ht="15.75" customHeight="1">
      <c r="A335" s="56"/>
    </row>
    <row r="336" ht="15.75" customHeight="1">
      <c r="A336" s="56"/>
    </row>
    <row r="337" ht="15.75" customHeight="1">
      <c r="A337" s="56"/>
    </row>
    <row r="338" ht="15.75" customHeight="1">
      <c r="A338" s="56"/>
    </row>
    <row r="339" ht="15.75" customHeight="1">
      <c r="A339" s="56"/>
    </row>
    <row r="340" ht="15.75" customHeight="1">
      <c r="A340" s="56"/>
    </row>
    <row r="341" ht="15.75" customHeight="1">
      <c r="A341" s="56"/>
    </row>
    <row r="342" ht="15.75" customHeight="1">
      <c r="A342" s="56"/>
    </row>
    <row r="343" ht="15.75" customHeight="1">
      <c r="A343" s="56"/>
    </row>
    <row r="344" ht="15.75" customHeight="1">
      <c r="A344" s="56"/>
    </row>
    <row r="345" ht="15.75" customHeight="1">
      <c r="A345" s="56"/>
    </row>
    <row r="346" ht="15.75" customHeight="1">
      <c r="A346" s="56"/>
    </row>
    <row r="347" ht="15.75" customHeight="1">
      <c r="A347" s="56"/>
    </row>
    <row r="348" ht="15.75" customHeight="1">
      <c r="A348" s="56"/>
    </row>
    <row r="349" ht="15.75" customHeight="1">
      <c r="A349" s="56"/>
    </row>
    <row r="350" ht="15.75" customHeight="1">
      <c r="A350" s="56"/>
    </row>
    <row r="351" ht="15.75" customHeight="1">
      <c r="A351" s="56"/>
    </row>
    <row r="352" ht="15.75" customHeight="1">
      <c r="A352" s="56"/>
    </row>
    <row r="353" ht="15.75" customHeight="1">
      <c r="A353" s="56"/>
    </row>
    <row r="354" ht="15.75" customHeight="1">
      <c r="A354" s="56"/>
    </row>
    <row r="355" ht="15.75" customHeight="1">
      <c r="A355" s="56"/>
    </row>
    <row r="356" ht="15.75" customHeight="1">
      <c r="A356" s="56"/>
    </row>
    <row r="357" ht="15.75" customHeight="1">
      <c r="A357" s="56"/>
    </row>
    <row r="358" ht="15.75" customHeight="1">
      <c r="A358" s="56"/>
    </row>
    <row r="359" ht="15.75" customHeight="1">
      <c r="A359" s="56"/>
    </row>
    <row r="360" ht="15.75" customHeight="1">
      <c r="A360" s="56"/>
    </row>
    <row r="361" ht="15.75" customHeight="1">
      <c r="A361" s="56"/>
    </row>
    <row r="362" ht="15.75" customHeight="1">
      <c r="A362" s="56"/>
    </row>
    <row r="363" ht="15.75" customHeight="1">
      <c r="A363" s="56"/>
    </row>
    <row r="364" ht="15.75" customHeight="1">
      <c r="A364" s="56"/>
    </row>
    <row r="365" ht="15.75" customHeight="1">
      <c r="A365" s="56"/>
    </row>
    <row r="366" ht="15.75" customHeight="1">
      <c r="A366" s="56"/>
    </row>
    <row r="367" ht="15.75" customHeight="1">
      <c r="A367" s="56"/>
    </row>
    <row r="368" ht="15.75" customHeight="1">
      <c r="A368" s="56"/>
    </row>
    <row r="369" ht="15.75" customHeight="1">
      <c r="A369" s="56"/>
    </row>
    <row r="370" ht="15.75" customHeight="1">
      <c r="A370" s="56"/>
    </row>
    <row r="371" ht="15.75" customHeight="1">
      <c r="A371" s="56"/>
    </row>
    <row r="372" ht="15.75" customHeight="1">
      <c r="A372" s="56"/>
    </row>
    <row r="373" ht="15.75" customHeight="1">
      <c r="A373" s="56"/>
    </row>
    <row r="374" ht="15.75" customHeight="1">
      <c r="A374" s="56"/>
    </row>
    <row r="375" ht="15.75" customHeight="1">
      <c r="A375" s="56"/>
    </row>
    <row r="376" ht="15.75" customHeight="1">
      <c r="A376" s="56"/>
    </row>
    <row r="377" ht="15.75" customHeight="1">
      <c r="A377" s="56"/>
    </row>
    <row r="378" ht="15.75" customHeight="1">
      <c r="A378" s="56"/>
    </row>
    <row r="379" ht="15.75" customHeight="1">
      <c r="A379" s="56"/>
    </row>
    <row r="380" ht="15.75" customHeight="1">
      <c r="A380" s="56"/>
    </row>
    <row r="381" ht="15.75" customHeight="1">
      <c r="A381" s="56"/>
    </row>
    <row r="382" ht="15.75" customHeight="1">
      <c r="A382" s="56"/>
    </row>
    <row r="383" ht="15.75" customHeight="1">
      <c r="A383" s="56"/>
    </row>
    <row r="384" ht="15.75" customHeight="1">
      <c r="A384" s="56"/>
    </row>
    <row r="385" ht="15.75" customHeight="1">
      <c r="A385" s="56"/>
    </row>
    <row r="386" ht="15.75" customHeight="1">
      <c r="A386" s="56"/>
    </row>
    <row r="387" ht="15.75" customHeight="1">
      <c r="A387" s="56"/>
    </row>
    <row r="388" ht="15.75" customHeight="1">
      <c r="A388" s="56"/>
    </row>
    <row r="389" ht="15.75" customHeight="1">
      <c r="A389" s="56"/>
    </row>
    <row r="390" ht="15.75" customHeight="1">
      <c r="A390" s="56"/>
    </row>
    <row r="391" ht="15.75" customHeight="1">
      <c r="A391" s="56"/>
    </row>
    <row r="392" ht="15.75" customHeight="1">
      <c r="A392" s="56"/>
    </row>
    <row r="393" ht="15.75" customHeight="1">
      <c r="A393" s="56"/>
    </row>
    <row r="394" ht="15.75" customHeight="1">
      <c r="A394" s="56"/>
    </row>
    <row r="395" ht="15.75" customHeight="1">
      <c r="A395" s="56"/>
    </row>
    <row r="396" ht="15.75" customHeight="1">
      <c r="A396" s="56"/>
    </row>
    <row r="397" ht="15.75" customHeight="1">
      <c r="A397" s="56"/>
    </row>
    <row r="398" ht="15.75" customHeight="1">
      <c r="A398" s="56"/>
    </row>
    <row r="399" ht="15.75" customHeight="1">
      <c r="A399" s="56"/>
    </row>
    <row r="400" ht="15.75" customHeight="1">
      <c r="A400" s="56"/>
    </row>
    <row r="401" ht="15.75" customHeight="1">
      <c r="A401" s="56"/>
    </row>
    <row r="402" ht="15.75" customHeight="1">
      <c r="A402" s="56"/>
    </row>
    <row r="403" ht="15.75" customHeight="1">
      <c r="A403" s="56"/>
    </row>
    <row r="404" ht="15.75" customHeight="1">
      <c r="A404" s="56"/>
    </row>
    <row r="405" ht="15.75" customHeight="1">
      <c r="A405" s="56"/>
    </row>
    <row r="406" ht="15.75" customHeight="1">
      <c r="A406" s="56"/>
    </row>
    <row r="407" ht="15.75" customHeight="1">
      <c r="A407" s="56"/>
    </row>
    <row r="408" ht="15.75" customHeight="1">
      <c r="A408" s="56"/>
    </row>
    <row r="409" ht="15.75" customHeight="1">
      <c r="A409" s="56"/>
    </row>
    <row r="410" ht="15.75" customHeight="1">
      <c r="A410" s="56"/>
    </row>
    <row r="411" ht="15.75" customHeight="1">
      <c r="A411" s="56"/>
    </row>
    <row r="412" ht="15.75" customHeight="1">
      <c r="A412" s="56"/>
    </row>
    <row r="413" ht="15.75" customHeight="1">
      <c r="A413" s="56"/>
    </row>
    <row r="414" ht="15.75" customHeight="1">
      <c r="A414" s="56"/>
    </row>
    <row r="415" ht="15.75" customHeight="1">
      <c r="A415" s="56"/>
    </row>
    <row r="416" ht="15.75" customHeight="1">
      <c r="A416" s="56"/>
    </row>
    <row r="417" ht="15.75" customHeight="1">
      <c r="A417" s="56"/>
    </row>
    <row r="418" ht="15.75" customHeight="1">
      <c r="A418" s="56"/>
    </row>
    <row r="419" ht="15.75" customHeight="1">
      <c r="A419" s="56"/>
    </row>
    <row r="420" ht="15.75" customHeight="1">
      <c r="A420" s="56"/>
    </row>
    <row r="421" ht="15.75" customHeight="1">
      <c r="A421" s="56"/>
    </row>
    <row r="422" ht="15.75" customHeight="1">
      <c r="A422" s="56"/>
    </row>
    <row r="423" ht="15.75" customHeight="1">
      <c r="A423" s="56"/>
    </row>
    <row r="424" ht="15.75" customHeight="1">
      <c r="A424" s="56"/>
    </row>
    <row r="425" ht="15.75" customHeight="1">
      <c r="A425" s="56"/>
    </row>
    <row r="426" ht="15.75" customHeight="1">
      <c r="A426" s="56"/>
    </row>
    <row r="427" ht="15.75" customHeight="1">
      <c r="A427" s="56"/>
    </row>
    <row r="428" ht="15.75" customHeight="1">
      <c r="A428" s="56"/>
    </row>
    <row r="429" ht="15.75" customHeight="1">
      <c r="A429" s="56"/>
    </row>
    <row r="430" ht="15.75" customHeight="1">
      <c r="A430" s="56"/>
    </row>
    <row r="431" ht="15.75" customHeight="1">
      <c r="A431" s="56"/>
    </row>
    <row r="432" ht="15.75" customHeight="1">
      <c r="A432" s="56"/>
    </row>
    <row r="433" ht="15.75" customHeight="1">
      <c r="A433" s="56"/>
    </row>
    <row r="434" ht="15.75" customHeight="1">
      <c r="A434" s="56"/>
    </row>
    <row r="435" ht="15.75" customHeight="1">
      <c r="A435" s="56"/>
    </row>
    <row r="436" ht="15.75" customHeight="1">
      <c r="A436" s="56"/>
    </row>
    <row r="437" ht="15.75" customHeight="1">
      <c r="A437" s="56"/>
    </row>
    <row r="438" ht="15.75" customHeight="1">
      <c r="A438" s="56"/>
    </row>
    <row r="439" ht="15.75" customHeight="1">
      <c r="A439" s="56"/>
    </row>
    <row r="440" ht="15.75" customHeight="1">
      <c r="A440" s="56"/>
    </row>
    <row r="441" ht="15.75" customHeight="1">
      <c r="A441" s="56"/>
    </row>
    <row r="442" ht="15.75" customHeight="1">
      <c r="A442" s="56"/>
    </row>
    <row r="443" ht="15.75" customHeight="1">
      <c r="A443" s="56"/>
    </row>
    <row r="444" ht="15.75" customHeight="1">
      <c r="A444" s="56"/>
    </row>
    <row r="445" ht="15.75" customHeight="1">
      <c r="A445" s="56"/>
    </row>
    <row r="446" ht="15.75" customHeight="1">
      <c r="A446" s="56"/>
    </row>
    <row r="447" ht="15.75" customHeight="1">
      <c r="A447" s="56"/>
    </row>
    <row r="448" ht="15.75" customHeight="1">
      <c r="A448" s="56"/>
    </row>
    <row r="449" ht="15.75" customHeight="1">
      <c r="A449" s="56"/>
    </row>
    <row r="450" ht="15.75" customHeight="1">
      <c r="A450" s="56"/>
    </row>
    <row r="451" ht="15.75" customHeight="1">
      <c r="A451" s="56"/>
    </row>
    <row r="452" ht="15.75" customHeight="1">
      <c r="A452" s="56"/>
    </row>
    <row r="453" ht="15.75" customHeight="1">
      <c r="A453" s="56"/>
    </row>
    <row r="454" ht="15.75" customHeight="1">
      <c r="A454" s="56"/>
    </row>
    <row r="455" ht="15.75" customHeight="1">
      <c r="A455" s="56"/>
    </row>
    <row r="456" ht="15.75" customHeight="1">
      <c r="A456" s="56"/>
    </row>
    <row r="457" ht="15.75" customHeight="1">
      <c r="A457" s="56"/>
    </row>
    <row r="458" ht="15.75" customHeight="1">
      <c r="A458" s="56"/>
    </row>
    <row r="459" ht="15.75" customHeight="1">
      <c r="A459" s="56"/>
    </row>
    <row r="460" ht="15.75" customHeight="1">
      <c r="A460" s="56"/>
    </row>
    <row r="461" ht="15.75" customHeight="1">
      <c r="A461" s="56"/>
    </row>
    <row r="462" ht="15.75" customHeight="1">
      <c r="A462" s="56"/>
    </row>
    <row r="463" ht="15.75" customHeight="1">
      <c r="A463" s="56"/>
    </row>
    <row r="464" ht="15.75" customHeight="1">
      <c r="A464" s="56"/>
    </row>
    <row r="465" ht="15.75" customHeight="1">
      <c r="A465" s="56"/>
    </row>
    <row r="466" ht="15.75" customHeight="1">
      <c r="A466" s="56"/>
    </row>
    <row r="467" ht="15.75" customHeight="1">
      <c r="A467" s="56"/>
    </row>
    <row r="468" ht="15.75" customHeight="1">
      <c r="A468" s="56"/>
    </row>
    <row r="469" ht="15.75" customHeight="1">
      <c r="A469" s="56"/>
    </row>
    <row r="470" ht="15.75" customHeight="1">
      <c r="A470" s="56"/>
    </row>
    <row r="471" ht="15.75" customHeight="1">
      <c r="A471" s="56"/>
    </row>
    <row r="472" ht="15.75" customHeight="1">
      <c r="A472" s="56"/>
    </row>
    <row r="473" ht="15.75" customHeight="1">
      <c r="A473" s="56"/>
    </row>
    <row r="474" ht="15.75" customHeight="1">
      <c r="A474" s="56"/>
    </row>
    <row r="475" ht="15.75" customHeight="1">
      <c r="A475" s="56"/>
    </row>
    <row r="476" ht="15.75" customHeight="1">
      <c r="A476" s="56"/>
    </row>
    <row r="477" ht="15.75" customHeight="1">
      <c r="A477" s="56"/>
    </row>
    <row r="478" ht="15.75" customHeight="1">
      <c r="A478" s="56"/>
    </row>
    <row r="479" ht="15.75" customHeight="1">
      <c r="A479" s="56"/>
    </row>
    <row r="480" ht="15.75" customHeight="1">
      <c r="A480" s="56"/>
    </row>
    <row r="481" ht="15.75" customHeight="1">
      <c r="A481" s="56"/>
    </row>
    <row r="482" ht="15.75" customHeight="1">
      <c r="A482" s="56"/>
    </row>
    <row r="483" ht="15.75" customHeight="1">
      <c r="A483" s="56"/>
    </row>
    <row r="484" ht="15.75" customHeight="1">
      <c r="A484" s="56"/>
    </row>
    <row r="485" ht="15.75" customHeight="1">
      <c r="A485" s="56"/>
    </row>
    <row r="486" ht="15.75" customHeight="1">
      <c r="A486" s="56"/>
    </row>
    <row r="487" ht="15.75" customHeight="1">
      <c r="A487" s="56"/>
    </row>
    <row r="488" ht="15.75" customHeight="1">
      <c r="A488" s="56"/>
    </row>
    <row r="489" ht="15.75" customHeight="1">
      <c r="A489" s="56"/>
    </row>
    <row r="490" ht="15.75" customHeight="1">
      <c r="A490" s="56"/>
    </row>
    <row r="491" ht="15.75" customHeight="1">
      <c r="A491" s="56"/>
    </row>
    <row r="492" ht="15.75" customHeight="1">
      <c r="A492" s="56"/>
    </row>
    <row r="493" ht="15.75" customHeight="1">
      <c r="A493" s="56"/>
    </row>
    <row r="494" ht="15.75" customHeight="1">
      <c r="A494" s="56"/>
    </row>
    <row r="495" ht="15.75" customHeight="1">
      <c r="A495" s="56"/>
    </row>
    <row r="496" ht="15.75" customHeight="1">
      <c r="A496" s="56"/>
    </row>
    <row r="497" ht="15.75" customHeight="1">
      <c r="A497" s="56"/>
    </row>
    <row r="498" ht="15.75" customHeight="1">
      <c r="A498" s="56"/>
    </row>
    <row r="499" ht="15.75" customHeight="1">
      <c r="A499" s="56"/>
    </row>
    <row r="500" ht="15.75" customHeight="1">
      <c r="A500" s="56"/>
    </row>
    <row r="501" ht="15.75" customHeight="1">
      <c r="A501" s="56"/>
    </row>
    <row r="502" ht="15.75" customHeight="1">
      <c r="A502" s="56"/>
    </row>
    <row r="503" ht="15.75" customHeight="1">
      <c r="A503" s="56"/>
    </row>
    <row r="504" ht="15.75" customHeight="1">
      <c r="A504" s="56"/>
    </row>
    <row r="505" ht="15.75" customHeight="1">
      <c r="A505" s="56"/>
    </row>
    <row r="506" ht="15.75" customHeight="1">
      <c r="A506" s="56"/>
    </row>
    <row r="507" ht="15.75" customHeight="1">
      <c r="A507" s="56"/>
    </row>
    <row r="508" ht="15.75" customHeight="1">
      <c r="A508" s="56"/>
    </row>
    <row r="509" ht="15.75" customHeight="1">
      <c r="A509" s="56"/>
    </row>
    <row r="510" ht="15.75" customHeight="1">
      <c r="A510" s="56"/>
    </row>
    <row r="511" ht="15.75" customHeight="1">
      <c r="A511" s="56"/>
    </row>
    <row r="512" ht="15.75" customHeight="1">
      <c r="A512" s="56"/>
    </row>
    <row r="513" ht="15.75" customHeight="1">
      <c r="A513" s="56"/>
    </row>
    <row r="514" ht="15.75" customHeight="1">
      <c r="A514" s="56"/>
    </row>
    <row r="515" ht="15.75" customHeight="1">
      <c r="A515" s="56"/>
    </row>
    <row r="516" ht="15.75" customHeight="1">
      <c r="A516" s="56"/>
    </row>
    <row r="517" ht="15.75" customHeight="1">
      <c r="A517" s="56"/>
    </row>
    <row r="518" ht="15.75" customHeight="1">
      <c r="A518" s="56"/>
    </row>
    <row r="519" ht="15.75" customHeight="1">
      <c r="A519" s="56"/>
    </row>
    <row r="520" ht="15.75" customHeight="1">
      <c r="A520" s="56"/>
    </row>
    <row r="521" ht="15.75" customHeight="1">
      <c r="A521" s="56"/>
    </row>
    <row r="522" ht="15.75" customHeight="1">
      <c r="A522" s="56"/>
    </row>
    <row r="523" ht="15.75" customHeight="1">
      <c r="A523" s="56"/>
    </row>
    <row r="524" ht="15.75" customHeight="1">
      <c r="A524" s="56"/>
    </row>
    <row r="525" ht="15.75" customHeight="1">
      <c r="A525" s="56"/>
    </row>
    <row r="526" ht="15.75" customHeight="1">
      <c r="A526" s="56"/>
    </row>
    <row r="527" ht="15.75" customHeight="1">
      <c r="A527" s="56"/>
    </row>
    <row r="528" ht="15.75" customHeight="1">
      <c r="A528" s="56"/>
    </row>
    <row r="529" ht="15.75" customHeight="1">
      <c r="A529" s="56"/>
    </row>
    <row r="530" ht="15.75" customHeight="1">
      <c r="A530" s="56"/>
    </row>
    <row r="531" ht="15.75" customHeight="1">
      <c r="A531" s="56"/>
    </row>
    <row r="532" ht="15.75" customHeight="1">
      <c r="A532" s="56"/>
    </row>
    <row r="533" ht="15.75" customHeight="1">
      <c r="A533" s="56"/>
    </row>
    <row r="534" ht="15.75" customHeight="1">
      <c r="A534" s="56"/>
    </row>
    <row r="535" ht="15.75" customHeight="1">
      <c r="A535" s="56"/>
    </row>
    <row r="536" ht="15.75" customHeight="1">
      <c r="A536" s="56"/>
    </row>
    <row r="537" ht="15.75" customHeight="1">
      <c r="A537" s="56"/>
    </row>
    <row r="538" ht="15.75" customHeight="1">
      <c r="A538" s="56"/>
    </row>
    <row r="539" ht="15.75" customHeight="1">
      <c r="A539" s="56"/>
    </row>
    <row r="540" ht="15.75" customHeight="1">
      <c r="A540" s="56"/>
    </row>
    <row r="541" ht="15.75" customHeight="1">
      <c r="A541" s="56"/>
    </row>
    <row r="542" ht="15.75" customHeight="1">
      <c r="A542" s="56"/>
    </row>
    <row r="543" ht="15.75" customHeight="1">
      <c r="A543" s="56"/>
    </row>
    <row r="544" ht="15.75" customHeight="1">
      <c r="A544" s="56"/>
    </row>
    <row r="545" ht="15.75" customHeight="1">
      <c r="A545" s="56"/>
    </row>
    <row r="546" ht="15.75" customHeight="1">
      <c r="A546" s="56"/>
    </row>
    <row r="547" ht="15.75" customHeight="1">
      <c r="A547" s="56"/>
    </row>
    <row r="548" ht="15.75" customHeight="1">
      <c r="A548" s="56"/>
    </row>
    <row r="549" ht="15.75" customHeight="1">
      <c r="A549" s="56"/>
    </row>
    <row r="550" ht="15.75" customHeight="1">
      <c r="A550" s="56"/>
    </row>
    <row r="551" ht="15.75" customHeight="1">
      <c r="A551" s="56"/>
    </row>
    <row r="552" ht="15.75" customHeight="1">
      <c r="A552" s="56"/>
    </row>
    <row r="553" ht="15.75" customHeight="1">
      <c r="A553" s="56"/>
    </row>
    <row r="554" ht="15.75" customHeight="1">
      <c r="A554" s="56"/>
    </row>
    <row r="555" ht="15.75" customHeight="1">
      <c r="A555" s="56"/>
    </row>
    <row r="556" ht="15.75" customHeight="1">
      <c r="A556" s="56"/>
    </row>
    <row r="557" ht="15.75" customHeight="1">
      <c r="A557" s="56"/>
    </row>
    <row r="558" ht="15.75" customHeight="1">
      <c r="A558" s="56"/>
    </row>
    <row r="559" ht="15.75" customHeight="1">
      <c r="A559" s="56"/>
    </row>
    <row r="560" ht="15.75" customHeight="1">
      <c r="A560" s="56"/>
    </row>
    <row r="561" ht="15.75" customHeight="1">
      <c r="A561" s="56"/>
    </row>
    <row r="562" ht="15.75" customHeight="1">
      <c r="A562" s="56"/>
    </row>
    <row r="563" ht="15.75" customHeight="1">
      <c r="A563" s="56"/>
    </row>
    <row r="564" ht="15.75" customHeight="1">
      <c r="A564" s="56"/>
    </row>
    <row r="565" ht="15.75" customHeight="1">
      <c r="A565" s="56"/>
    </row>
    <row r="566" ht="15.75" customHeight="1">
      <c r="A566" s="56"/>
    </row>
    <row r="567" ht="15.75" customHeight="1">
      <c r="A567" s="56"/>
    </row>
    <row r="568" ht="15.75" customHeight="1">
      <c r="A568" s="56"/>
    </row>
    <row r="569" ht="15.75" customHeight="1">
      <c r="A569" s="56"/>
    </row>
    <row r="570" ht="15.75" customHeight="1">
      <c r="A570" s="56"/>
    </row>
    <row r="571" ht="15.75" customHeight="1">
      <c r="A571" s="56"/>
    </row>
    <row r="572" ht="15.75" customHeight="1">
      <c r="A572" s="56"/>
    </row>
    <row r="573" ht="15.75" customHeight="1">
      <c r="A573" s="56"/>
    </row>
    <row r="574" ht="15.75" customHeight="1">
      <c r="A574" s="56"/>
    </row>
    <row r="575" ht="15.75" customHeight="1">
      <c r="A575" s="56"/>
    </row>
    <row r="576" ht="15.75" customHeight="1">
      <c r="A576" s="56"/>
    </row>
    <row r="577" ht="15.75" customHeight="1">
      <c r="A577" s="56"/>
    </row>
    <row r="578" ht="15.75" customHeight="1">
      <c r="A578" s="56"/>
    </row>
    <row r="579" ht="15.75" customHeight="1">
      <c r="A579" s="56"/>
    </row>
    <row r="580" ht="15.75" customHeight="1">
      <c r="A580" s="56"/>
    </row>
    <row r="581" ht="15.75" customHeight="1">
      <c r="A581" s="56"/>
    </row>
    <row r="582" ht="15.75" customHeight="1">
      <c r="A582" s="56"/>
    </row>
    <row r="583" ht="15.75" customHeight="1">
      <c r="A583" s="56"/>
    </row>
    <row r="584" ht="15.75" customHeight="1">
      <c r="A584" s="56"/>
    </row>
    <row r="585" ht="15.75" customHeight="1">
      <c r="A585" s="56"/>
    </row>
    <row r="586" ht="15.75" customHeight="1">
      <c r="A586" s="56"/>
    </row>
    <row r="587" ht="15.75" customHeight="1">
      <c r="A587" s="56"/>
    </row>
    <row r="588" ht="15.75" customHeight="1">
      <c r="A588" s="56"/>
    </row>
    <row r="589" ht="15.75" customHeight="1">
      <c r="A589" s="56"/>
    </row>
    <row r="590" ht="15.75" customHeight="1">
      <c r="A590" s="56"/>
    </row>
    <row r="591" ht="15.75" customHeight="1">
      <c r="A591" s="56"/>
    </row>
    <row r="592" ht="15.75" customHeight="1">
      <c r="A592" s="56"/>
    </row>
    <row r="593" ht="15.75" customHeight="1">
      <c r="A593" s="56"/>
    </row>
    <row r="594" ht="15.75" customHeight="1">
      <c r="A594" s="56"/>
    </row>
    <row r="595" ht="15.75" customHeight="1">
      <c r="A595" s="56"/>
    </row>
    <row r="596" ht="15.75" customHeight="1">
      <c r="A596" s="56"/>
    </row>
    <row r="597" ht="15.75" customHeight="1">
      <c r="A597" s="56"/>
    </row>
    <row r="598" ht="15.75" customHeight="1">
      <c r="A598" s="56"/>
    </row>
    <row r="599" ht="15.75" customHeight="1">
      <c r="A599" s="56"/>
    </row>
    <row r="600" ht="15.75" customHeight="1">
      <c r="A600" s="56"/>
    </row>
    <row r="601" ht="15.75" customHeight="1">
      <c r="A601" s="56"/>
    </row>
    <row r="602" ht="15.75" customHeight="1">
      <c r="A602" s="56"/>
    </row>
    <row r="603" ht="15.75" customHeight="1">
      <c r="A603" s="56"/>
    </row>
    <row r="604" ht="15.75" customHeight="1">
      <c r="A604" s="56"/>
    </row>
    <row r="605" ht="15.75" customHeight="1">
      <c r="A605" s="56"/>
    </row>
    <row r="606" ht="15.75" customHeight="1">
      <c r="A606" s="56"/>
    </row>
    <row r="607" ht="15.75" customHeight="1">
      <c r="A607" s="56"/>
    </row>
    <row r="608" ht="15.75" customHeight="1">
      <c r="A608" s="56"/>
    </row>
    <row r="609" ht="15.75" customHeight="1">
      <c r="A609" s="56"/>
    </row>
    <row r="610" ht="15.75" customHeight="1">
      <c r="A610" s="56"/>
    </row>
    <row r="611" ht="15.75" customHeight="1">
      <c r="A611" s="56"/>
    </row>
    <row r="612" ht="15.75" customHeight="1">
      <c r="A612" s="56"/>
    </row>
    <row r="613" ht="15.75" customHeight="1">
      <c r="A613" s="56"/>
    </row>
    <row r="614" ht="15.75" customHeight="1">
      <c r="A614" s="56"/>
    </row>
    <row r="615" ht="15.75" customHeight="1">
      <c r="A615" s="56"/>
    </row>
    <row r="616" ht="15.75" customHeight="1">
      <c r="A616" s="56"/>
    </row>
    <row r="617" ht="15.75" customHeight="1">
      <c r="A617" s="56"/>
    </row>
    <row r="618" ht="15.75" customHeight="1">
      <c r="A618" s="56"/>
    </row>
    <row r="619" ht="15.75" customHeight="1">
      <c r="A619" s="56"/>
    </row>
    <row r="620" ht="15.75" customHeight="1">
      <c r="A620" s="56"/>
    </row>
    <row r="621" ht="15.75" customHeight="1">
      <c r="A621" s="56"/>
    </row>
    <row r="622" ht="15.75" customHeight="1">
      <c r="A622" s="56"/>
    </row>
    <row r="623" ht="15.75" customHeight="1">
      <c r="A623" s="56"/>
    </row>
    <row r="624" ht="15.75" customHeight="1">
      <c r="A624" s="56"/>
    </row>
    <row r="625" ht="15.75" customHeight="1">
      <c r="A625" s="56"/>
    </row>
    <row r="626" ht="15.75" customHeight="1">
      <c r="A626" s="56"/>
    </row>
    <row r="627" ht="15.75" customHeight="1">
      <c r="A627" s="56"/>
    </row>
    <row r="628" ht="15.75" customHeight="1">
      <c r="A628" s="56"/>
    </row>
    <row r="629" ht="15.75" customHeight="1">
      <c r="A629" s="56"/>
    </row>
    <row r="630" ht="15.75" customHeight="1">
      <c r="A630" s="56"/>
    </row>
    <row r="631" ht="15.75" customHeight="1">
      <c r="A631" s="56"/>
    </row>
    <row r="632" ht="15.75" customHeight="1">
      <c r="A632" s="56"/>
    </row>
    <row r="633" ht="15.75" customHeight="1">
      <c r="A633" s="56"/>
    </row>
    <row r="634" ht="15.75" customHeight="1">
      <c r="A634" s="56"/>
    </row>
    <row r="635" ht="15.75" customHeight="1">
      <c r="A635" s="56"/>
    </row>
    <row r="636" ht="15.75" customHeight="1">
      <c r="A636" s="56"/>
    </row>
    <row r="637" ht="15.75" customHeight="1">
      <c r="A637" s="56"/>
    </row>
    <row r="638" ht="15.75" customHeight="1">
      <c r="A638" s="56"/>
    </row>
    <row r="639" ht="15.75" customHeight="1">
      <c r="A639" s="56"/>
    </row>
    <row r="640" ht="15.75" customHeight="1">
      <c r="A640" s="56"/>
    </row>
    <row r="641" ht="15.75" customHeight="1">
      <c r="A641" s="56"/>
    </row>
    <row r="642" ht="15.75" customHeight="1">
      <c r="A642" s="56"/>
    </row>
    <row r="643" ht="15.75" customHeight="1">
      <c r="A643" s="56"/>
    </row>
    <row r="644" ht="15.75" customHeight="1">
      <c r="A644" s="56"/>
    </row>
    <row r="645" ht="15.75" customHeight="1">
      <c r="A645" s="56"/>
    </row>
    <row r="646" ht="15.75" customHeight="1">
      <c r="A646" s="56"/>
    </row>
    <row r="647" ht="15.75" customHeight="1">
      <c r="A647" s="56"/>
    </row>
    <row r="648" ht="15.75" customHeight="1">
      <c r="A648" s="56"/>
    </row>
    <row r="649" ht="15.75" customHeight="1">
      <c r="A649" s="56"/>
    </row>
    <row r="650" ht="15.75" customHeight="1">
      <c r="A650" s="56"/>
    </row>
    <row r="651" ht="15.75" customHeight="1">
      <c r="A651" s="56"/>
    </row>
    <row r="652" ht="15.75" customHeight="1">
      <c r="A652" s="56"/>
    </row>
    <row r="653" ht="15.75" customHeight="1">
      <c r="A653" s="56"/>
    </row>
    <row r="654" ht="15.75" customHeight="1">
      <c r="A654" s="56"/>
    </row>
    <row r="655" ht="15.75" customHeight="1">
      <c r="A655" s="56"/>
    </row>
    <row r="656" ht="15.75" customHeight="1">
      <c r="A656" s="56"/>
    </row>
    <row r="657" ht="15.75" customHeight="1">
      <c r="A657" s="56"/>
    </row>
    <row r="658" ht="15.75" customHeight="1">
      <c r="A658" s="56"/>
    </row>
    <row r="659" ht="15.75" customHeight="1">
      <c r="A659" s="56"/>
    </row>
    <row r="660" ht="15.75" customHeight="1">
      <c r="A660" s="56"/>
    </row>
    <row r="661" ht="15.75" customHeight="1">
      <c r="A661" s="56"/>
    </row>
    <row r="662" ht="15.75" customHeight="1">
      <c r="A662" s="56"/>
    </row>
    <row r="663" ht="15.75" customHeight="1">
      <c r="A663" s="56"/>
    </row>
    <row r="664" ht="15.75" customHeight="1">
      <c r="A664" s="56"/>
    </row>
    <row r="665" ht="15.75" customHeight="1">
      <c r="A665" s="56"/>
    </row>
    <row r="666" ht="15.75" customHeight="1">
      <c r="A666" s="56"/>
    </row>
    <row r="667" ht="15.75" customHeight="1">
      <c r="A667" s="56"/>
    </row>
    <row r="668" ht="15.75" customHeight="1">
      <c r="A668" s="56"/>
    </row>
    <row r="669" ht="15.75" customHeight="1">
      <c r="A669" s="56"/>
    </row>
    <row r="670" ht="15.75" customHeight="1">
      <c r="A670" s="56"/>
    </row>
    <row r="671" ht="15.75" customHeight="1">
      <c r="A671" s="56"/>
    </row>
    <row r="672" ht="15.75" customHeight="1">
      <c r="A672" s="56"/>
    </row>
    <row r="673" ht="15.75" customHeight="1">
      <c r="A673" s="56"/>
    </row>
    <row r="674" ht="15.75" customHeight="1">
      <c r="A674" s="56"/>
    </row>
    <row r="675" ht="15.75" customHeight="1">
      <c r="A675" s="56"/>
    </row>
    <row r="676" ht="15.75" customHeight="1">
      <c r="A676" s="56"/>
    </row>
    <row r="677" ht="15.75" customHeight="1">
      <c r="A677" s="56"/>
    </row>
    <row r="678" ht="15.75" customHeight="1">
      <c r="A678" s="56"/>
    </row>
    <row r="679" ht="15.75" customHeight="1">
      <c r="A679" s="56"/>
    </row>
    <row r="680" ht="15.75" customHeight="1">
      <c r="A680" s="56"/>
    </row>
    <row r="681" ht="15.75" customHeight="1">
      <c r="A681" s="56"/>
    </row>
    <row r="682" ht="15.75" customHeight="1">
      <c r="A682" s="56"/>
    </row>
    <row r="683" ht="15.75" customHeight="1">
      <c r="A683" s="56"/>
    </row>
    <row r="684" ht="15.75" customHeight="1">
      <c r="A684" s="56"/>
    </row>
    <row r="685" ht="15.75" customHeight="1">
      <c r="A685" s="56"/>
    </row>
    <row r="686" ht="15.75" customHeight="1">
      <c r="A686" s="56"/>
    </row>
    <row r="687" ht="15.75" customHeight="1">
      <c r="A687" s="56"/>
    </row>
    <row r="688" ht="15.75" customHeight="1">
      <c r="A688" s="56"/>
    </row>
    <row r="689" ht="15.75" customHeight="1">
      <c r="A689" s="56"/>
    </row>
    <row r="690" ht="15.75" customHeight="1">
      <c r="A690" s="56"/>
    </row>
    <row r="691" ht="15.75" customHeight="1">
      <c r="A691" s="56"/>
    </row>
    <row r="692" ht="15.75" customHeight="1">
      <c r="A692" s="56"/>
    </row>
    <row r="693" ht="15.75" customHeight="1">
      <c r="A693" s="56"/>
    </row>
    <row r="694" ht="15.75" customHeight="1">
      <c r="A694" s="56"/>
    </row>
    <row r="695" ht="15.75" customHeight="1">
      <c r="A695" s="56"/>
    </row>
    <row r="696" ht="15.75" customHeight="1">
      <c r="A696" s="56"/>
    </row>
    <row r="697" ht="15.75" customHeight="1">
      <c r="A697" s="56"/>
    </row>
    <row r="698" ht="15.75" customHeight="1">
      <c r="A698" s="56"/>
    </row>
    <row r="699" ht="15.75" customHeight="1">
      <c r="A699" s="56"/>
    </row>
    <row r="700" ht="15.75" customHeight="1">
      <c r="A700" s="56"/>
    </row>
    <row r="701" ht="15.75" customHeight="1">
      <c r="A701" s="56"/>
    </row>
    <row r="702" ht="15.75" customHeight="1">
      <c r="A702" s="56"/>
    </row>
    <row r="703" ht="15.75" customHeight="1">
      <c r="A703" s="56"/>
    </row>
    <row r="704" ht="15.75" customHeight="1">
      <c r="A704" s="56"/>
    </row>
    <row r="705" ht="15.75" customHeight="1">
      <c r="A705" s="56"/>
    </row>
    <row r="706" ht="15.75" customHeight="1">
      <c r="A706" s="56"/>
    </row>
    <row r="707" ht="15.75" customHeight="1">
      <c r="A707" s="56"/>
    </row>
    <row r="708" ht="15.75" customHeight="1">
      <c r="A708" s="56"/>
    </row>
    <row r="709" ht="15.75" customHeight="1">
      <c r="A709" s="56"/>
    </row>
    <row r="710" ht="15.75" customHeight="1">
      <c r="A710" s="56"/>
    </row>
    <row r="711" ht="15.75" customHeight="1">
      <c r="A711" s="56"/>
    </row>
    <row r="712" ht="15.75" customHeight="1">
      <c r="A712" s="56"/>
    </row>
    <row r="713" ht="15.75" customHeight="1">
      <c r="A713" s="56"/>
    </row>
    <row r="714" ht="15.75" customHeight="1">
      <c r="A714" s="56"/>
    </row>
    <row r="715" ht="15.75" customHeight="1">
      <c r="A715" s="56"/>
    </row>
    <row r="716" ht="15.75" customHeight="1">
      <c r="A716" s="56"/>
    </row>
    <row r="717" ht="15.75" customHeight="1">
      <c r="A717" s="56"/>
    </row>
    <row r="718" ht="15.75" customHeight="1">
      <c r="A718" s="56"/>
    </row>
    <row r="719" ht="15.75" customHeight="1">
      <c r="A719" s="56"/>
    </row>
    <row r="720" ht="15.75" customHeight="1">
      <c r="A720" s="56"/>
    </row>
    <row r="721" ht="15.75" customHeight="1">
      <c r="A721" s="56"/>
    </row>
    <row r="722" ht="15.75" customHeight="1">
      <c r="A722" s="56"/>
    </row>
    <row r="723" ht="15.75" customHeight="1">
      <c r="A723" s="56"/>
    </row>
    <row r="724" ht="15.75" customHeight="1">
      <c r="A724" s="56"/>
    </row>
    <row r="725" ht="15.75" customHeight="1">
      <c r="A725" s="56"/>
    </row>
    <row r="726" ht="15.75" customHeight="1">
      <c r="A726" s="56"/>
    </row>
    <row r="727" ht="15.75" customHeight="1">
      <c r="A727" s="56"/>
    </row>
    <row r="728" ht="15.75" customHeight="1">
      <c r="A728" s="56"/>
    </row>
    <row r="729" ht="15.75" customHeight="1">
      <c r="A729" s="56"/>
    </row>
    <row r="730" ht="15.75" customHeight="1">
      <c r="A730" s="56"/>
    </row>
    <row r="731" ht="15.75" customHeight="1">
      <c r="A731" s="56"/>
    </row>
    <row r="732" ht="15.75" customHeight="1">
      <c r="A732" s="56"/>
    </row>
    <row r="733" ht="15.75" customHeight="1">
      <c r="A733" s="56"/>
    </row>
    <row r="734" ht="15.75" customHeight="1">
      <c r="A734" s="56"/>
    </row>
    <row r="735" ht="15.75" customHeight="1">
      <c r="A735" s="56"/>
    </row>
    <row r="736" ht="15.75" customHeight="1">
      <c r="A736" s="56"/>
    </row>
    <row r="737" ht="15.75" customHeight="1">
      <c r="A737" s="56"/>
    </row>
    <row r="738" ht="15.75" customHeight="1">
      <c r="A738" s="56"/>
    </row>
    <row r="739" ht="15.75" customHeight="1">
      <c r="A739" s="56"/>
    </row>
    <row r="740" ht="15.75" customHeight="1">
      <c r="A740" s="56"/>
    </row>
    <row r="741" ht="15.75" customHeight="1">
      <c r="A741" s="56"/>
    </row>
    <row r="742" ht="15.75" customHeight="1">
      <c r="A742" s="56"/>
    </row>
    <row r="743" ht="15.75" customHeight="1">
      <c r="A743" s="56"/>
    </row>
    <row r="744" ht="15.75" customHeight="1">
      <c r="A744" s="56"/>
    </row>
    <row r="745" ht="15.75" customHeight="1">
      <c r="A745" s="56"/>
    </row>
    <row r="746" ht="15.75" customHeight="1">
      <c r="A746" s="56"/>
    </row>
    <row r="747" ht="15.75" customHeight="1">
      <c r="A747" s="56"/>
    </row>
    <row r="748" ht="15.75" customHeight="1">
      <c r="A748" s="56"/>
    </row>
    <row r="749" ht="15.75" customHeight="1">
      <c r="A749" s="56"/>
    </row>
    <row r="750" ht="15.75" customHeight="1">
      <c r="A750" s="56"/>
    </row>
    <row r="751" ht="15.75" customHeight="1">
      <c r="A751" s="56"/>
    </row>
    <row r="752" ht="15.75" customHeight="1">
      <c r="A752" s="56"/>
    </row>
    <row r="753" ht="15.75" customHeight="1">
      <c r="A753" s="56"/>
    </row>
    <row r="754" ht="15.75" customHeight="1">
      <c r="A754" s="56"/>
    </row>
    <row r="755" ht="15.75" customHeight="1">
      <c r="A755" s="56"/>
    </row>
    <row r="756" ht="15.75" customHeight="1">
      <c r="A756" s="56"/>
    </row>
    <row r="757" ht="15.75" customHeight="1">
      <c r="A757" s="56"/>
    </row>
    <row r="758" ht="15.75" customHeight="1">
      <c r="A758" s="56"/>
    </row>
    <row r="759" ht="15.75" customHeight="1">
      <c r="A759" s="56"/>
    </row>
    <row r="760" ht="15.75" customHeight="1">
      <c r="A760" s="56"/>
    </row>
    <row r="761" ht="15.75" customHeight="1">
      <c r="A761" s="56"/>
    </row>
    <row r="762" ht="15.75" customHeight="1">
      <c r="A762" s="56"/>
    </row>
    <row r="763" ht="15.75" customHeight="1">
      <c r="A763" s="56"/>
    </row>
    <row r="764" ht="15.75" customHeight="1">
      <c r="A764" s="56"/>
    </row>
    <row r="765" ht="15.75" customHeight="1">
      <c r="A765" s="56"/>
    </row>
    <row r="766" ht="15.75" customHeight="1">
      <c r="A766" s="56"/>
    </row>
    <row r="767" ht="15.75" customHeight="1">
      <c r="A767" s="56"/>
    </row>
    <row r="768" ht="15.75" customHeight="1">
      <c r="A768" s="56"/>
    </row>
    <row r="769" ht="15.75" customHeight="1">
      <c r="A769" s="56"/>
    </row>
    <row r="770" ht="15.75" customHeight="1">
      <c r="A770" s="56"/>
    </row>
    <row r="771" ht="15.75" customHeight="1">
      <c r="A771" s="56"/>
    </row>
    <row r="772" ht="15.75" customHeight="1">
      <c r="A772" s="56"/>
    </row>
    <row r="773" ht="15.75" customHeight="1">
      <c r="A773" s="56"/>
    </row>
    <row r="774" ht="15.75" customHeight="1">
      <c r="A774" s="56"/>
    </row>
    <row r="775" ht="15.75" customHeight="1">
      <c r="A775" s="56"/>
    </row>
    <row r="776" ht="15.75" customHeight="1">
      <c r="A776" s="56"/>
    </row>
    <row r="777" ht="15.75" customHeight="1">
      <c r="A777" s="56"/>
    </row>
    <row r="778" ht="15.75" customHeight="1">
      <c r="A778" s="56"/>
    </row>
    <row r="779" ht="15.75" customHeight="1">
      <c r="A779" s="56"/>
    </row>
    <row r="780" ht="15.75" customHeight="1">
      <c r="A780" s="56"/>
    </row>
    <row r="781" ht="15.75" customHeight="1">
      <c r="A781" s="56"/>
    </row>
    <row r="782" ht="15.75" customHeight="1">
      <c r="A782" s="56"/>
    </row>
    <row r="783" ht="15.75" customHeight="1">
      <c r="A783" s="56"/>
    </row>
    <row r="784" ht="15.75" customHeight="1">
      <c r="A784" s="56"/>
    </row>
    <row r="785" ht="15.75" customHeight="1">
      <c r="A785" s="56"/>
    </row>
    <row r="786" ht="15.75" customHeight="1">
      <c r="A786" s="56"/>
    </row>
    <row r="787" ht="15.75" customHeight="1">
      <c r="A787" s="56"/>
    </row>
    <row r="788" ht="15.75" customHeight="1">
      <c r="A788" s="56"/>
    </row>
    <row r="789" ht="15.75" customHeight="1">
      <c r="A789" s="56"/>
    </row>
    <row r="790" ht="15.75" customHeight="1">
      <c r="A790" s="56"/>
    </row>
    <row r="791" ht="15.75" customHeight="1">
      <c r="A791" s="56"/>
    </row>
    <row r="792" ht="15.75" customHeight="1">
      <c r="A792" s="56"/>
    </row>
    <row r="793" ht="15.75" customHeight="1">
      <c r="A793" s="56"/>
    </row>
    <row r="794" ht="15.75" customHeight="1">
      <c r="A794" s="56"/>
    </row>
    <row r="795" ht="15.75" customHeight="1">
      <c r="A795" s="56"/>
    </row>
    <row r="796" ht="15.75" customHeight="1">
      <c r="A796" s="56"/>
    </row>
    <row r="797" ht="15.75" customHeight="1">
      <c r="A797" s="56"/>
    </row>
    <row r="798" ht="15.75" customHeight="1">
      <c r="A798" s="56"/>
    </row>
    <row r="799" ht="15.75" customHeight="1">
      <c r="A799" s="56"/>
    </row>
    <row r="800" ht="15.75" customHeight="1">
      <c r="A800" s="56"/>
    </row>
    <row r="801" ht="15.75" customHeight="1">
      <c r="A801" s="56"/>
    </row>
    <row r="802" ht="15.75" customHeight="1">
      <c r="A802" s="56"/>
    </row>
    <row r="803" ht="15.75" customHeight="1">
      <c r="A803" s="56"/>
    </row>
    <row r="804" ht="15.75" customHeight="1">
      <c r="A804" s="56"/>
    </row>
    <row r="805" ht="15.75" customHeight="1">
      <c r="A805" s="56"/>
    </row>
    <row r="806" ht="15.75" customHeight="1">
      <c r="A806" s="56"/>
    </row>
    <row r="807" ht="15.75" customHeight="1">
      <c r="A807" s="56"/>
    </row>
    <row r="808" ht="15.75" customHeight="1">
      <c r="A808" s="56"/>
    </row>
    <row r="809" ht="15.75" customHeight="1">
      <c r="A809" s="56"/>
    </row>
    <row r="810" ht="15.75" customHeight="1">
      <c r="A810" s="56"/>
    </row>
    <row r="811" ht="15.75" customHeight="1">
      <c r="A811" s="56"/>
    </row>
    <row r="812" ht="15.75" customHeight="1">
      <c r="A812" s="56"/>
    </row>
    <row r="813" ht="15.75" customHeight="1">
      <c r="A813" s="56"/>
    </row>
    <row r="814" ht="15.75" customHeight="1">
      <c r="A814" s="56"/>
    </row>
    <row r="815" ht="15.75" customHeight="1">
      <c r="A815" s="56"/>
    </row>
    <row r="816" ht="15.75" customHeight="1">
      <c r="A816" s="56"/>
    </row>
    <row r="817" ht="15.75" customHeight="1">
      <c r="A817" s="56"/>
    </row>
    <row r="818" ht="15.75" customHeight="1">
      <c r="A818" s="56"/>
    </row>
    <row r="819" ht="15.75" customHeight="1">
      <c r="A819" s="56"/>
    </row>
    <row r="820" ht="15.75" customHeight="1">
      <c r="A820" s="56"/>
    </row>
    <row r="821" ht="15.75" customHeight="1">
      <c r="A821" s="56"/>
    </row>
    <row r="822" ht="15.75" customHeight="1">
      <c r="A822" s="56"/>
    </row>
    <row r="823" ht="15.75" customHeight="1">
      <c r="A823" s="56"/>
    </row>
    <row r="824" ht="15.75" customHeight="1">
      <c r="A824" s="56"/>
    </row>
    <row r="825" ht="15.75" customHeight="1">
      <c r="A825" s="56"/>
    </row>
    <row r="826" ht="15.75" customHeight="1">
      <c r="A826" s="56"/>
    </row>
    <row r="827" ht="15.75" customHeight="1">
      <c r="A827" s="56"/>
    </row>
    <row r="828" ht="15.75" customHeight="1">
      <c r="A828" s="56"/>
    </row>
    <row r="829" ht="15.75" customHeight="1">
      <c r="A829" s="56"/>
    </row>
    <row r="830" ht="15.75" customHeight="1">
      <c r="A830" s="56"/>
    </row>
    <row r="831" ht="15.75" customHeight="1">
      <c r="A831" s="56"/>
    </row>
    <row r="832" ht="15.75" customHeight="1">
      <c r="A832" s="56"/>
    </row>
    <row r="833" ht="15.75" customHeight="1">
      <c r="A833" s="56"/>
    </row>
    <row r="834" ht="15.75" customHeight="1">
      <c r="A834" s="56"/>
    </row>
    <row r="835" ht="15.75" customHeight="1">
      <c r="A835" s="56"/>
    </row>
    <row r="836" ht="15.75" customHeight="1">
      <c r="A836" s="56"/>
    </row>
    <row r="837" ht="15.75" customHeight="1">
      <c r="A837" s="56"/>
    </row>
    <row r="838" ht="15.75" customHeight="1">
      <c r="A838" s="56"/>
    </row>
    <row r="839" ht="15.75" customHeight="1">
      <c r="A839" s="56"/>
    </row>
    <row r="840" ht="15.75" customHeight="1">
      <c r="A840" s="56"/>
    </row>
    <row r="841" ht="15.75" customHeight="1">
      <c r="A841" s="56"/>
    </row>
    <row r="842" ht="15.75" customHeight="1">
      <c r="A842" s="56"/>
    </row>
    <row r="843" ht="15.75" customHeight="1">
      <c r="A843" s="56"/>
    </row>
    <row r="844" ht="15.75" customHeight="1">
      <c r="A844" s="56"/>
    </row>
    <row r="845" ht="15.75" customHeight="1">
      <c r="A845" s="56"/>
    </row>
    <row r="846" ht="15.75" customHeight="1">
      <c r="A846" s="56"/>
    </row>
    <row r="847" ht="15.75" customHeight="1">
      <c r="A847" s="56"/>
    </row>
    <row r="848" ht="15.75" customHeight="1">
      <c r="A848" s="56"/>
    </row>
    <row r="849" ht="15.75" customHeight="1">
      <c r="A849" s="56"/>
    </row>
    <row r="850" ht="15.75" customHeight="1">
      <c r="A850" s="56"/>
    </row>
    <row r="851" ht="15.75" customHeight="1">
      <c r="A851" s="56"/>
    </row>
    <row r="852" ht="15.75" customHeight="1">
      <c r="A852" s="56"/>
    </row>
    <row r="853" ht="15.75" customHeight="1">
      <c r="A853" s="56"/>
    </row>
    <row r="854" ht="15.75" customHeight="1">
      <c r="A854" s="56"/>
    </row>
    <row r="855" ht="15.75" customHeight="1">
      <c r="A855" s="56"/>
    </row>
    <row r="856" ht="15.75" customHeight="1">
      <c r="A856" s="56"/>
    </row>
    <row r="857" ht="15.75" customHeight="1">
      <c r="A857" s="56"/>
    </row>
    <row r="858" ht="15.75" customHeight="1">
      <c r="A858" s="56"/>
    </row>
    <row r="859" ht="15.75" customHeight="1">
      <c r="A859" s="56"/>
    </row>
    <row r="860" ht="15.75" customHeight="1">
      <c r="A860" s="56"/>
    </row>
    <row r="861" ht="15.75" customHeight="1">
      <c r="A861" s="56"/>
    </row>
    <row r="862" ht="15.75" customHeight="1">
      <c r="A862" s="56"/>
    </row>
    <row r="863" ht="15.75" customHeight="1">
      <c r="A863" s="56"/>
    </row>
    <row r="864" ht="15.75" customHeight="1">
      <c r="A864" s="56"/>
    </row>
    <row r="865" ht="15.75" customHeight="1">
      <c r="A865" s="56"/>
    </row>
    <row r="866" ht="15.75" customHeight="1">
      <c r="A866" s="56"/>
    </row>
    <row r="867" ht="15.75" customHeight="1">
      <c r="A867" s="56"/>
    </row>
    <row r="868" ht="15.75" customHeight="1">
      <c r="A868" s="56"/>
    </row>
    <row r="869" ht="15.75" customHeight="1">
      <c r="A869" s="56"/>
    </row>
    <row r="870" ht="15.75" customHeight="1">
      <c r="A870" s="56"/>
    </row>
    <row r="871" ht="15.75" customHeight="1">
      <c r="A871" s="56"/>
    </row>
    <row r="872" ht="15.75" customHeight="1">
      <c r="A872" s="56"/>
    </row>
    <row r="873" ht="15.75" customHeight="1">
      <c r="A873" s="56"/>
    </row>
    <row r="874" ht="15.75" customHeight="1">
      <c r="A874" s="56"/>
    </row>
    <row r="875" ht="15.75" customHeight="1">
      <c r="A875" s="56"/>
    </row>
    <row r="876" ht="15.75" customHeight="1">
      <c r="A876" s="56"/>
    </row>
    <row r="877" ht="15.75" customHeight="1">
      <c r="A877" s="56"/>
    </row>
    <row r="878" ht="15.75" customHeight="1">
      <c r="A878" s="56"/>
    </row>
    <row r="879" ht="15.75" customHeight="1">
      <c r="A879" s="56"/>
    </row>
    <row r="880" ht="15.75" customHeight="1">
      <c r="A880" s="56"/>
    </row>
    <row r="881" ht="15.75" customHeight="1">
      <c r="A881" s="56"/>
    </row>
    <row r="882" ht="15.75" customHeight="1">
      <c r="A882" s="56"/>
    </row>
    <row r="883" ht="15.75" customHeight="1">
      <c r="A883" s="56"/>
    </row>
    <row r="884" ht="15.75" customHeight="1">
      <c r="A884" s="56"/>
    </row>
    <row r="885" ht="15.75" customHeight="1">
      <c r="A885" s="56"/>
    </row>
    <row r="886" ht="15.75" customHeight="1">
      <c r="A886" s="56"/>
    </row>
    <row r="887" ht="15.75" customHeight="1">
      <c r="A887" s="56"/>
    </row>
    <row r="888" ht="15.75" customHeight="1">
      <c r="A888" s="56"/>
    </row>
    <row r="889" ht="15.75" customHeight="1">
      <c r="A889" s="56"/>
    </row>
    <row r="890" ht="15.75" customHeight="1">
      <c r="A890" s="56"/>
    </row>
    <row r="891" ht="15.75" customHeight="1">
      <c r="A891" s="56"/>
    </row>
    <row r="892" ht="15.75" customHeight="1">
      <c r="A892" s="56"/>
    </row>
    <row r="893" ht="15.75" customHeight="1">
      <c r="A893" s="56"/>
    </row>
    <row r="894" ht="15.75" customHeight="1">
      <c r="A894" s="56"/>
    </row>
    <row r="895" ht="15.75" customHeight="1">
      <c r="A895" s="56"/>
    </row>
    <row r="896" ht="15.75" customHeight="1">
      <c r="A896" s="56"/>
    </row>
    <row r="897" ht="15.75" customHeight="1">
      <c r="A897" s="56"/>
    </row>
    <row r="898" ht="15.75" customHeight="1">
      <c r="A898" s="56"/>
    </row>
    <row r="899" ht="15.75" customHeight="1">
      <c r="A899" s="56"/>
    </row>
    <row r="900" ht="15.75" customHeight="1">
      <c r="A900" s="56"/>
    </row>
    <row r="901" ht="15.75" customHeight="1">
      <c r="A901" s="56"/>
    </row>
    <row r="902" ht="15.75" customHeight="1">
      <c r="A902" s="56"/>
    </row>
    <row r="903" ht="15.75" customHeight="1">
      <c r="A903" s="56"/>
    </row>
    <row r="904" ht="15.75" customHeight="1">
      <c r="A904" s="56"/>
    </row>
    <row r="905" ht="15.75" customHeight="1">
      <c r="A905" s="56"/>
    </row>
    <row r="906" ht="15.75" customHeight="1">
      <c r="A906" s="56"/>
    </row>
    <row r="907" ht="15.75" customHeight="1">
      <c r="A907" s="56"/>
    </row>
    <row r="908" ht="15.75" customHeight="1">
      <c r="A908" s="56"/>
    </row>
    <row r="909" ht="15.75" customHeight="1">
      <c r="A909" s="56"/>
    </row>
    <row r="910" ht="15.75" customHeight="1">
      <c r="A910" s="56"/>
    </row>
    <row r="911" ht="15.75" customHeight="1">
      <c r="A911" s="56"/>
    </row>
    <row r="912" ht="15.75" customHeight="1">
      <c r="A912" s="56"/>
    </row>
    <row r="913" ht="15.75" customHeight="1">
      <c r="A913" s="56"/>
    </row>
    <row r="914" ht="15.75" customHeight="1">
      <c r="A914" s="56"/>
    </row>
    <row r="915" ht="15.75" customHeight="1">
      <c r="A915" s="56"/>
    </row>
    <row r="916" ht="15.75" customHeight="1">
      <c r="A916" s="56"/>
    </row>
    <row r="917" ht="15.75" customHeight="1">
      <c r="A917" s="56"/>
    </row>
    <row r="918" ht="15.75" customHeight="1">
      <c r="A918" s="56"/>
    </row>
    <row r="919" ht="15.75" customHeight="1">
      <c r="A919" s="56"/>
    </row>
    <row r="920" ht="15.75" customHeight="1">
      <c r="A920" s="56"/>
    </row>
    <row r="921" ht="15.75" customHeight="1">
      <c r="A921" s="56"/>
    </row>
    <row r="922" ht="15.75" customHeight="1">
      <c r="A922" s="56"/>
    </row>
    <row r="923" ht="15.75" customHeight="1">
      <c r="A923" s="56"/>
    </row>
    <row r="924" ht="15.75" customHeight="1">
      <c r="A924" s="56"/>
    </row>
    <row r="925" ht="15.75" customHeight="1">
      <c r="A925" s="56"/>
    </row>
    <row r="926" ht="15.75" customHeight="1">
      <c r="A926" s="56"/>
    </row>
    <row r="927" ht="15.75" customHeight="1">
      <c r="A927" s="56"/>
    </row>
    <row r="928" ht="15.75" customHeight="1">
      <c r="A928" s="56"/>
    </row>
    <row r="929" ht="15.75" customHeight="1">
      <c r="A929" s="56"/>
    </row>
    <row r="930" ht="15.75" customHeight="1">
      <c r="A930" s="56"/>
    </row>
    <row r="931" ht="15.75" customHeight="1">
      <c r="A931" s="56"/>
    </row>
    <row r="932" ht="15.75" customHeight="1">
      <c r="A932" s="56"/>
    </row>
    <row r="933" ht="15.75" customHeight="1">
      <c r="A933" s="56"/>
    </row>
    <row r="934" ht="15.75" customHeight="1">
      <c r="A934" s="56"/>
    </row>
    <row r="935" ht="15.75" customHeight="1">
      <c r="A935" s="56"/>
    </row>
    <row r="936" ht="15.75" customHeight="1">
      <c r="A936" s="56"/>
    </row>
    <row r="937" ht="15.75" customHeight="1">
      <c r="A937" s="56"/>
    </row>
    <row r="938" ht="15.75" customHeight="1">
      <c r="A938" s="56"/>
    </row>
    <row r="939" ht="15.75" customHeight="1">
      <c r="A939" s="56"/>
    </row>
    <row r="940" ht="15.75" customHeight="1">
      <c r="A940" s="56"/>
    </row>
    <row r="941" ht="15.75" customHeight="1">
      <c r="A941" s="56"/>
    </row>
    <row r="942" ht="15.75" customHeight="1">
      <c r="A942" s="56"/>
    </row>
    <row r="943" ht="15.75" customHeight="1">
      <c r="A943" s="56"/>
    </row>
    <row r="944" ht="15.75" customHeight="1">
      <c r="A944" s="56"/>
    </row>
    <row r="945" ht="15.75" customHeight="1">
      <c r="A945" s="56"/>
    </row>
    <row r="946" ht="15.75" customHeight="1">
      <c r="A946" s="56"/>
    </row>
    <row r="947" ht="15.75" customHeight="1">
      <c r="A947" s="56"/>
    </row>
    <row r="948" ht="15.75" customHeight="1">
      <c r="A948" s="56"/>
    </row>
    <row r="949" ht="15.75" customHeight="1">
      <c r="A949" s="56"/>
    </row>
    <row r="950" ht="15.75" customHeight="1">
      <c r="A950" s="56"/>
    </row>
    <row r="951" ht="15.75" customHeight="1">
      <c r="A951" s="56"/>
    </row>
    <row r="952" ht="15.75" customHeight="1">
      <c r="A952" s="56"/>
    </row>
    <row r="953" ht="15.75" customHeight="1">
      <c r="A953" s="56"/>
    </row>
    <row r="954" ht="15.75" customHeight="1">
      <c r="A954" s="56"/>
    </row>
    <row r="955" ht="15.75" customHeight="1">
      <c r="A955" s="56"/>
    </row>
    <row r="956" ht="15.75" customHeight="1">
      <c r="A956" s="56"/>
    </row>
    <row r="957" ht="15.75" customHeight="1">
      <c r="A957" s="56"/>
    </row>
    <row r="958" ht="15.75" customHeight="1">
      <c r="A958" s="56"/>
    </row>
    <row r="959" ht="15.75" customHeight="1">
      <c r="A959" s="56"/>
    </row>
    <row r="960" ht="15.75" customHeight="1">
      <c r="A960" s="56"/>
    </row>
    <row r="961" ht="15.75" customHeight="1">
      <c r="A961" s="56"/>
    </row>
    <row r="962" ht="15.75" customHeight="1">
      <c r="A962" s="56"/>
    </row>
    <row r="963" ht="15.75" customHeight="1">
      <c r="A963" s="56"/>
    </row>
    <row r="964" ht="15.75" customHeight="1">
      <c r="A964" s="56"/>
    </row>
    <row r="965" ht="15.75" customHeight="1">
      <c r="A965" s="56"/>
    </row>
    <row r="966" ht="15.75" customHeight="1">
      <c r="A966" s="56"/>
    </row>
    <row r="967" ht="15.75" customHeight="1">
      <c r="A967" s="56"/>
    </row>
    <row r="968" ht="15.75" customHeight="1">
      <c r="A968" s="56"/>
    </row>
    <row r="969" ht="15.75" customHeight="1">
      <c r="A969" s="56"/>
    </row>
    <row r="970" ht="15.75" customHeight="1">
      <c r="A970" s="56"/>
    </row>
    <row r="971" ht="15.75" customHeight="1">
      <c r="A971" s="56"/>
    </row>
    <row r="972" ht="15.75" customHeight="1">
      <c r="A972" s="56"/>
    </row>
    <row r="973" ht="15.75" customHeight="1">
      <c r="A973" s="56"/>
    </row>
    <row r="974" ht="15.75" customHeight="1">
      <c r="A974" s="56"/>
    </row>
    <row r="975" ht="15.75" customHeight="1">
      <c r="A975" s="56"/>
    </row>
    <row r="976" ht="15.75" customHeight="1">
      <c r="A976" s="56"/>
    </row>
    <row r="977" ht="15.75" customHeight="1">
      <c r="A977" s="56"/>
    </row>
    <row r="978" ht="15.75" customHeight="1">
      <c r="A978" s="56"/>
    </row>
    <row r="979" ht="15.75" customHeight="1">
      <c r="A979" s="56"/>
    </row>
    <row r="980" ht="15.75" customHeight="1">
      <c r="A980" s="56"/>
    </row>
    <row r="981" ht="15.75" customHeight="1">
      <c r="A981" s="56"/>
    </row>
    <row r="982" ht="15.75" customHeight="1">
      <c r="A982" s="56"/>
    </row>
    <row r="983" ht="15.75" customHeight="1">
      <c r="A983" s="56"/>
    </row>
    <row r="984" ht="15.75" customHeight="1">
      <c r="A984" s="56"/>
    </row>
    <row r="985" ht="15.75" customHeight="1">
      <c r="A985" s="56"/>
    </row>
    <row r="986" ht="15.75" customHeight="1">
      <c r="A986" s="56"/>
    </row>
    <row r="987" ht="15.75" customHeight="1">
      <c r="A987" s="56"/>
    </row>
    <row r="988" ht="15.75" customHeight="1">
      <c r="A988" s="56"/>
    </row>
    <row r="989" ht="15.75" customHeight="1">
      <c r="A989" s="56"/>
    </row>
    <row r="990" ht="15.75" customHeight="1">
      <c r="A990" s="56"/>
    </row>
    <row r="991" ht="15.75" customHeight="1">
      <c r="A991" s="56"/>
    </row>
    <row r="992" ht="15.75" customHeight="1">
      <c r="A992" s="56"/>
    </row>
    <row r="993" ht="15.75" customHeight="1">
      <c r="A993" s="56"/>
    </row>
    <row r="994" ht="15.75" customHeight="1">
      <c r="A994" s="56"/>
    </row>
    <row r="995" ht="15.75" customHeight="1">
      <c r="A995" s="56"/>
    </row>
    <row r="996" ht="15.75" customHeight="1">
      <c r="A996" s="56"/>
    </row>
    <row r="997" ht="15.75" customHeight="1">
      <c r="A997" s="56"/>
    </row>
    <row r="998" ht="15.75" customHeight="1">
      <c r="A998" s="56"/>
    </row>
    <row r="999" ht="15.75" customHeight="1">
      <c r="A999" s="56"/>
    </row>
    <row r="1000" ht="15.75" customHeight="1">
      <c r="A1000" s="56"/>
    </row>
    <row r="1001" ht="15.75" customHeight="1">
      <c r="A1001" s="56"/>
    </row>
    <row r="1002" ht="15.75" customHeight="1">
      <c r="A1002" s="56"/>
    </row>
    <row r="1003" ht="15.75" customHeight="1">
      <c r="A1003" s="56"/>
    </row>
    <row r="1004" ht="15.75" customHeight="1">
      <c r="A1004" s="56"/>
    </row>
  </sheetData>
  <printOptions/>
  <pageMargins bottom="1.0" footer="0.0" header="0.0" left="0.75" right="0.75" top="1.0"/>
  <pageSetup orientation="landscape"/>
  <drawing r:id="rId1"/>
</worksheet>
</file>